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213\Downloads\"/>
    </mc:Choice>
  </mc:AlternateContent>
  <xr:revisionPtr revIDLastSave="0" documentId="8_{1DD9C804-0285-405A-9C33-99C2A0DE33E2}" xr6:coauthVersionLast="47" xr6:coauthVersionMax="47" xr10:uidLastSave="{00000000-0000-0000-0000-000000000000}"/>
  <bookViews>
    <workbookView xWindow="-120" yWindow="-120" windowWidth="24240" windowHeight="13020" xr2:uid="{19EC5966-36CA-486D-B789-786E911958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8" i="1" l="1"/>
  <c r="N29" i="1"/>
  <c r="N30" i="1"/>
  <c r="N27" i="1"/>
  <c r="N22" i="1"/>
  <c r="N23" i="1"/>
  <c r="N24" i="1"/>
  <c r="N21" i="1"/>
  <c r="N15" i="1"/>
  <c r="N16" i="1"/>
  <c r="N17" i="1"/>
  <c r="N14" i="1"/>
  <c r="N9" i="1"/>
  <c r="N10" i="1"/>
  <c r="N11" i="1"/>
  <c r="N8" i="1"/>
  <c r="M4" i="1"/>
  <c r="M5" i="1"/>
  <c r="M3" i="1"/>
  <c r="J17" i="1"/>
  <c r="J15" i="1"/>
  <c r="J11" i="1"/>
  <c r="J9" i="1"/>
  <c r="J5" i="1"/>
</calcChain>
</file>

<file path=xl/sharedStrings.xml><?xml version="1.0" encoding="utf-8"?>
<sst xmlns="http://schemas.openxmlformats.org/spreadsheetml/2006/main" count="119" uniqueCount="59">
  <si>
    <t>OU(Condição1; Condição2)</t>
  </si>
  <si>
    <t>SE(Teste Lógico; Valor_se_Verdadeiro; Valor_se_Falso)</t>
  </si>
  <si>
    <t>Se(10&gt;=2;"OK";"Não")</t>
  </si>
  <si>
    <t>E(Condição1; Condição2;...)</t>
  </si>
  <si>
    <t>E(10&gt;2;7&lt;15)</t>
  </si>
  <si>
    <t>E(9&gt;2;7&gt;10)</t>
  </si>
  <si>
    <t>OU(10&lt;0;5&gt;2)</t>
  </si>
  <si>
    <t>OU(9&gt;500;0=5)</t>
  </si>
  <si>
    <t>Jorge</t>
  </si>
  <si>
    <t>Não</t>
  </si>
  <si>
    <t>Nome</t>
  </si>
  <si>
    <t>Legal?</t>
  </si>
  <si>
    <t>Rodrigo</t>
  </si>
  <si>
    <t>José</t>
  </si>
  <si>
    <t>Sim</t>
  </si>
  <si>
    <t>Talvez</t>
  </si>
  <si>
    <t>SE(f2="Sim";"Ele é legal";"Ele não é legal"</t>
  </si>
  <si>
    <t>Caridoso</t>
  </si>
  <si>
    <t>Olivia</t>
  </si>
  <si>
    <t>Boa Pessoa? (E(F7="Sim";G7="Sim)</t>
  </si>
  <si>
    <t>Boa Pessoa? (OU(F13="Sim";G13="Sim)</t>
  </si>
  <si>
    <t>Sinais Simples</t>
  </si>
  <si>
    <t>Utilização/Significado</t>
  </si>
  <si>
    <t>Exemplo</t>
  </si>
  <si>
    <t>Sinais Lógicos</t>
  </si>
  <si>
    <t>+</t>
  </si>
  <si>
    <t>-</t>
  </si>
  <si>
    <t>*</t>
  </si>
  <si>
    <t>/</t>
  </si>
  <si>
    <t>Adição</t>
  </si>
  <si>
    <t>Subtração</t>
  </si>
  <si>
    <t>Multiplicação</t>
  </si>
  <si>
    <t>Divisão</t>
  </si>
  <si>
    <t>10+10 = 20</t>
  </si>
  <si>
    <t>9-3 = 6</t>
  </si>
  <si>
    <t>10*10 = 100</t>
  </si>
  <si>
    <t>10/2=5</t>
  </si>
  <si>
    <t>&lt;</t>
  </si>
  <si>
    <t>&gt;</t>
  </si>
  <si>
    <t>&gt;=</t>
  </si>
  <si>
    <t>&lt;=</t>
  </si>
  <si>
    <t>=</t>
  </si>
  <si>
    <t>&lt;&gt;</t>
  </si>
  <si>
    <t>Maior que</t>
  </si>
  <si>
    <t>Menor que</t>
  </si>
  <si>
    <t>Maior ou igual que</t>
  </si>
  <si>
    <t>Menor ou igual que</t>
  </si>
  <si>
    <t>Igual</t>
  </si>
  <si>
    <t>Diferente</t>
  </si>
  <si>
    <t>8&gt;10;5&gt;4;10&gt;600</t>
  </si>
  <si>
    <t>9&lt;10; 10&lt;0; 5&lt;3</t>
  </si>
  <si>
    <t>10&gt;=10; 5&gt;=4; 6&gt;=900</t>
  </si>
  <si>
    <t>9&lt;=5; 5&lt;=40; 6&lt;=6</t>
  </si>
  <si>
    <t>10=10; "Abacaxi"="Pera"; 5=9</t>
  </si>
  <si>
    <t>8&lt;&gt;5; "Sim"&lt;&gt;"Não"; 5&lt;&gt;5</t>
  </si>
  <si>
    <r>
      <rPr>
        <b/>
        <sz val="11"/>
        <color theme="1"/>
        <rFont val="Aptos Narrow"/>
        <family val="2"/>
        <scheme val="minor"/>
      </rPr>
      <t>SE</t>
    </r>
    <r>
      <rPr>
        <sz val="11"/>
        <color theme="1"/>
        <rFont val="Aptos Narrow"/>
        <family val="2"/>
        <scheme val="minor"/>
      </rPr>
      <t xml:space="preserve"> Com </t>
    </r>
    <r>
      <rPr>
        <b/>
        <sz val="11"/>
        <color theme="1"/>
        <rFont val="Aptos Narrow"/>
        <family val="2"/>
        <scheme val="minor"/>
      </rPr>
      <t>E</t>
    </r>
  </si>
  <si>
    <r>
      <rPr>
        <b/>
        <sz val="11"/>
        <color theme="1"/>
        <rFont val="Aptos Narrow"/>
        <family val="2"/>
        <scheme val="minor"/>
      </rPr>
      <t>SE</t>
    </r>
    <r>
      <rPr>
        <sz val="11"/>
        <color theme="1"/>
        <rFont val="Aptos Narrow"/>
        <family val="2"/>
        <scheme val="minor"/>
      </rPr>
      <t xml:space="preserve"> Com </t>
    </r>
    <r>
      <rPr>
        <b/>
        <sz val="11"/>
        <color theme="1"/>
        <rFont val="Aptos Narrow"/>
        <family val="2"/>
        <scheme val="minor"/>
      </rPr>
      <t>OU</t>
    </r>
  </si>
  <si>
    <t>Boa Pessoa? SE(E(L21="Sim";M21="Sim);"Boa Pessoa";"Não é uma boa Pessoa")</t>
  </si>
  <si>
    <t>Boa Pessoa? SE(OU(L21="Sim";M21="Sim);"Boa Pessoa";"Não é uma boa Pessoa")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</si>
</sst>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4" xfId="0" applyFill="1" applyBorder="1"/>
    <xf numFmtId="0" fontId="0" fillId="0" borderId="9" xfId="0" applyFill="1" applyBorder="1"/>
    <xf numFmtId="0" fontId="0" fillId="0" borderId="5" xfId="0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Border="1"/>
    <xf numFmtId="0" fontId="0" fillId="0" borderId="14" xfId="0" applyFill="1" applyBorder="1"/>
    <xf numFmtId="0" fontId="0" fillId="0" borderId="15" xfId="0" applyBorder="1"/>
    <xf numFmtId="0" fontId="0" fillId="0" borderId="16" xfId="0" applyFill="1" applyBorder="1"/>
    <xf numFmtId="0" fontId="0" fillId="0" borderId="17" xfId="0" applyBorder="1"/>
    <xf numFmtId="0" fontId="0" fillId="0" borderId="18" xfId="0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3" borderId="26" xfId="0" applyFon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077D-38E0-4120-9CF2-09ED11E94ABF}">
  <dimension ref="C1:N32"/>
  <sheetViews>
    <sheetView tabSelected="1" topLeftCell="C1" zoomScaleNormal="100" workbookViewId="0">
      <selection activeCell="I22" sqref="I22"/>
    </sheetView>
  </sheetViews>
  <sheetFormatPr defaultRowHeight="15" x14ac:dyDescent="0.25"/>
  <cols>
    <col min="2" max="2" width="12.140625" bestFit="1" customWidth="1"/>
    <col min="3" max="3" width="14" bestFit="1" customWidth="1"/>
    <col min="4" max="4" width="20.7109375" bestFit="1" customWidth="1"/>
    <col min="5" max="5" width="26.42578125" bestFit="1" customWidth="1"/>
    <col min="6" max="8" width="12.140625" customWidth="1"/>
    <col min="10" max="10" width="47.5703125" bestFit="1" customWidth="1"/>
    <col min="13" max="13" width="37.140625" bestFit="1" customWidth="1"/>
    <col min="14" max="14" width="73" bestFit="1" customWidth="1"/>
  </cols>
  <sheetData>
    <row r="1" spans="3:14" ht="15.75" thickBot="1" x14ac:dyDescent="0.3"/>
    <row r="2" spans="3:14" ht="16.5" thickTop="1" thickBot="1" x14ac:dyDescent="0.3">
      <c r="C2" s="31" t="s">
        <v>21</v>
      </c>
      <c r="D2" s="31" t="s">
        <v>22</v>
      </c>
      <c r="E2" s="31" t="s">
        <v>23</v>
      </c>
      <c r="J2" s="27" t="s">
        <v>1</v>
      </c>
      <c r="K2" s="28" t="s">
        <v>10</v>
      </c>
      <c r="L2" s="29" t="s">
        <v>11</v>
      </c>
      <c r="M2" s="36" t="s">
        <v>16</v>
      </c>
      <c r="N2" s="30"/>
    </row>
    <row r="3" spans="3:14" ht="15.75" thickTop="1" x14ac:dyDescent="0.25">
      <c r="C3" s="32" t="s">
        <v>25</v>
      </c>
      <c r="D3" s="32" t="s">
        <v>29</v>
      </c>
      <c r="E3" s="32" t="s">
        <v>33</v>
      </c>
      <c r="J3" s="17"/>
      <c r="K3" s="5" t="s">
        <v>8</v>
      </c>
      <c r="L3" s="3" t="s">
        <v>14</v>
      </c>
      <c r="M3" s="2" t="str">
        <f>IF(L3="Sim","Ele é legal","Ele não é legal")</f>
        <v>Ele é legal</v>
      </c>
      <c r="N3" s="20"/>
    </row>
    <row r="4" spans="3:14" x14ac:dyDescent="0.25">
      <c r="C4" s="33" t="s">
        <v>26</v>
      </c>
      <c r="D4" s="33" t="s">
        <v>30</v>
      </c>
      <c r="E4" s="33" t="s">
        <v>34</v>
      </c>
      <c r="J4" s="17" t="s">
        <v>2</v>
      </c>
      <c r="K4" s="6" t="s">
        <v>12</v>
      </c>
      <c r="L4" s="4" t="s">
        <v>9</v>
      </c>
      <c r="M4" s="1" t="str">
        <f t="shared" ref="M4:M5" si="0">IF(L4="Sim","Ele é legal","Ele não é legal")</f>
        <v>Ele não é legal</v>
      </c>
      <c r="N4" s="20"/>
    </row>
    <row r="5" spans="3:14" x14ac:dyDescent="0.25">
      <c r="C5" s="33" t="s">
        <v>27</v>
      </c>
      <c r="D5" s="33" t="s">
        <v>31</v>
      </c>
      <c r="E5" s="33" t="s">
        <v>35</v>
      </c>
      <c r="J5" s="17" t="str">
        <f>IF(10&gt;=2,"Ok","Não")</f>
        <v>Ok</v>
      </c>
      <c r="K5" s="6" t="s">
        <v>13</v>
      </c>
      <c r="L5" s="4" t="s">
        <v>15</v>
      </c>
      <c r="M5" s="1" t="str">
        <f t="shared" si="0"/>
        <v>Ele não é legal</v>
      </c>
      <c r="N5" s="20"/>
    </row>
    <row r="6" spans="3:14" ht="15.75" thickBot="1" x14ac:dyDescent="0.3">
      <c r="C6" s="33" t="s">
        <v>28</v>
      </c>
      <c r="D6" s="33" t="s">
        <v>32</v>
      </c>
      <c r="E6" s="33" t="s">
        <v>36</v>
      </c>
      <c r="J6" s="24"/>
      <c r="K6" s="25"/>
      <c r="L6" s="25"/>
      <c r="M6" s="25"/>
      <c r="N6" s="26"/>
    </row>
    <row r="7" spans="3:14" ht="15.75" thickBot="1" x14ac:dyDescent="0.3">
      <c r="C7" s="22"/>
      <c r="D7" s="22"/>
      <c r="E7" s="22"/>
      <c r="J7" s="17" t="s">
        <v>3</v>
      </c>
      <c r="K7" s="7" t="s">
        <v>10</v>
      </c>
      <c r="L7" s="8" t="s">
        <v>11</v>
      </c>
      <c r="M7" s="13" t="s">
        <v>17</v>
      </c>
      <c r="N7" s="18" t="s">
        <v>19</v>
      </c>
    </row>
    <row r="8" spans="3:14" ht="16.5" thickTop="1" thickBot="1" x14ac:dyDescent="0.3">
      <c r="C8" s="31" t="s">
        <v>24</v>
      </c>
      <c r="D8" s="31" t="s">
        <v>22</v>
      </c>
      <c r="E8" s="31" t="s">
        <v>23</v>
      </c>
      <c r="J8" s="17" t="s">
        <v>4</v>
      </c>
      <c r="K8" s="9" t="s">
        <v>8</v>
      </c>
      <c r="L8" s="11" t="s">
        <v>14</v>
      </c>
      <c r="M8" s="14" t="s">
        <v>14</v>
      </c>
      <c r="N8" s="19" t="b">
        <f>AND(L8="Sim",M8="Sim")</f>
        <v>1</v>
      </c>
    </row>
    <row r="9" spans="3:14" ht="15.75" thickTop="1" x14ac:dyDescent="0.25">
      <c r="C9" s="35" t="s">
        <v>38</v>
      </c>
      <c r="D9" s="35" t="s">
        <v>43</v>
      </c>
      <c r="E9" s="2" t="s">
        <v>49</v>
      </c>
      <c r="J9" s="17" t="b">
        <f>AND(10&gt;2,7&lt;15)</f>
        <v>1</v>
      </c>
      <c r="K9" s="10" t="s">
        <v>12</v>
      </c>
      <c r="L9" s="12" t="s">
        <v>9</v>
      </c>
      <c r="M9" s="15" t="s">
        <v>9</v>
      </c>
      <c r="N9" s="19" t="b">
        <f t="shared" ref="N9:N11" si="1">AND(L9="Sim",M9="Sim")</f>
        <v>0</v>
      </c>
    </row>
    <row r="10" spans="3:14" x14ac:dyDescent="0.25">
      <c r="C10" s="34" t="s">
        <v>37</v>
      </c>
      <c r="D10" s="34" t="s">
        <v>44</v>
      </c>
      <c r="E10" s="1" t="s">
        <v>50</v>
      </c>
      <c r="J10" s="17" t="s">
        <v>5</v>
      </c>
      <c r="K10" s="10" t="s">
        <v>13</v>
      </c>
      <c r="L10" s="12" t="s">
        <v>15</v>
      </c>
      <c r="M10" s="16" t="s">
        <v>14</v>
      </c>
      <c r="N10" s="19" t="b">
        <f t="shared" si="1"/>
        <v>0</v>
      </c>
    </row>
    <row r="11" spans="3:14" x14ac:dyDescent="0.25">
      <c r="C11" s="34" t="s">
        <v>39</v>
      </c>
      <c r="D11" s="34" t="s">
        <v>45</v>
      </c>
      <c r="E11" s="1" t="s">
        <v>51</v>
      </c>
      <c r="J11" s="17" t="b">
        <f>AND(9&gt;2,7&gt;10)</f>
        <v>0</v>
      </c>
      <c r="K11" s="10" t="s">
        <v>18</v>
      </c>
      <c r="L11" s="12" t="s">
        <v>14</v>
      </c>
      <c r="M11" s="16" t="s">
        <v>9</v>
      </c>
      <c r="N11" s="19" t="b">
        <f t="shared" si="1"/>
        <v>0</v>
      </c>
    </row>
    <row r="12" spans="3:14" ht="15.75" thickBot="1" x14ac:dyDescent="0.3">
      <c r="C12" s="34" t="s">
        <v>40</v>
      </c>
      <c r="D12" s="34" t="s">
        <v>46</v>
      </c>
      <c r="E12" s="1" t="s">
        <v>52</v>
      </c>
      <c r="J12" s="24"/>
      <c r="K12" s="25"/>
      <c r="L12" s="25"/>
      <c r="M12" s="25"/>
      <c r="N12" s="26"/>
    </row>
    <row r="13" spans="3:14" ht="15.75" thickBot="1" x14ac:dyDescent="0.3">
      <c r="C13" s="34" t="s">
        <v>41</v>
      </c>
      <c r="D13" s="34" t="s">
        <v>47</v>
      </c>
      <c r="E13" s="1" t="s">
        <v>53</v>
      </c>
      <c r="J13" s="17" t="s">
        <v>0</v>
      </c>
      <c r="K13" s="7" t="s">
        <v>10</v>
      </c>
      <c r="L13" s="8" t="s">
        <v>11</v>
      </c>
      <c r="M13" s="13" t="s">
        <v>17</v>
      </c>
      <c r="N13" s="18" t="s">
        <v>20</v>
      </c>
    </row>
    <row r="14" spans="3:14" ht="15.75" thickTop="1" x14ac:dyDescent="0.25">
      <c r="C14" s="34" t="s">
        <v>42</v>
      </c>
      <c r="D14" s="34" t="s">
        <v>48</v>
      </c>
      <c r="E14" s="1" t="s">
        <v>54</v>
      </c>
      <c r="J14" s="17" t="s">
        <v>6</v>
      </c>
      <c r="K14" s="9" t="s">
        <v>8</v>
      </c>
      <c r="L14" s="11" t="s">
        <v>14</v>
      </c>
      <c r="M14" s="14" t="s">
        <v>14</v>
      </c>
      <c r="N14" s="19" t="b">
        <f>OR(L14="Sim",M14="Sim")</f>
        <v>1</v>
      </c>
    </row>
    <row r="15" spans="3:14" x14ac:dyDescent="0.25">
      <c r="J15" s="17" t="b">
        <f>OR(10&lt;0,5&gt;2)</f>
        <v>1</v>
      </c>
      <c r="K15" s="10" t="s">
        <v>12</v>
      </c>
      <c r="L15" s="12" t="s">
        <v>9</v>
      </c>
      <c r="M15" s="15" t="s">
        <v>9</v>
      </c>
      <c r="N15" s="19" t="b">
        <f t="shared" ref="N15:N17" si="2">OR(L15="Sim",M15="Sim")</f>
        <v>0</v>
      </c>
    </row>
    <row r="16" spans="3:14" x14ac:dyDescent="0.25">
      <c r="J16" s="17" t="s">
        <v>7</v>
      </c>
      <c r="K16" s="10" t="s">
        <v>13</v>
      </c>
      <c r="L16" s="12" t="s">
        <v>15</v>
      </c>
      <c r="M16" s="16" t="s">
        <v>14</v>
      </c>
      <c r="N16" s="19" t="b">
        <f t="shared" si="2"/>
        <v>1</v>
      </c>
    </row>
    <row r="17" spans="10:14" x14ac:dyDescent="0.25">
      <c r="J17" s="17" t="b">
        <f>OR(9&gt;500,0=5)</f>
        <v>0</v>
      </c>
      <c r="K17" s="10" t="s">
        <v>18</v>
      </c>
      <c r="L17" s="12" t="s">
        <v>14</v>
      </c>
      <c r="M17" s="16" t="s">
        <v>9</v>
      </c>
      <c r="N17" s="19" t="b">
        <f t="shared" si="2"/>
        <v>1</v>
      </c>
    </row>
    <row r="18" spans="10:14" x14ac:dyDescent="0.25">
      <c r="J18" s="24"/>
      <c r="K18" s="25"/>
      <c r="L18" s="25"/>
      <c r="M18" s="25"/>
      <c r="N18" s="26"/>
    </row>
    <row r="19" spans="10:14" ht="15.75" thickBot="1" x14ac:dyDescent="0.3">
      <c r="J19" s="24"/>
      <c r="K19" s="25"/>
      <c r="L19" s="25"/>
      <c r="M19" s="25"/>
      <c r="N19" s="26"/>
    </row>
    <row r="20" spans="10:14" ht="15.75" thickBot="1" x14ac:dyDescent="0.3">
      <c r="J20" s="17"/>
      <c r="K20" s="7" t="s">
        <v>10</v>
      </c>
      <c r="L20" s="8" t="s">
        <v>11</v>
      </c>
      <c r="M20" s="13" t="s">
        <v>17</v>
      </c>
      <c r="N20" s="18" t="s">
        <v>57</v>
      </c>
    </row>
    <row r="21" spans="10:14" ht="15.75" thickTop="1" x14ac:dyDescent="0.25">
      <c r="J21" s="17"/>
      <c r="K21" s="9" t="s">
        <v>8</v>
      </c>
      <c r="L21" s="11" t="s">
        <v>14</v>
      </c>
      <c r="M21" s="14" t="s">
        <v>14</v>
      </c>
      <c r="N21" s="19" t="str">
        <f>IF(AND(L21="Sim",M21="Sim"),"Boa Pessoa","Não é uma boa Pessoa")</f>
        <v>Boa Pessoa</v>
      </c>
    </row>
    <row r="22" spans="10:14" x14ac:dyDescent="0.25">
      <c r="J22" s="37" t="s">
        <v>55</v>
      </c>
      <c r="K22" s="10" t="s">
        <v>12</v>
      </c>
      <c r="L22" s="12" t="s">
        <v>9</v>
      </c>
      <c r="M22" s="15" t="s">
        <v>9</v>
      </c>
      <c r="N22" s="19" t="str">
        <f t="shared" ref="N22:N24" si="3">IF(AND(L22="Sim",M22="Sim"),"Boa Pessoa","Não é uma boa Pessoa")</f>
        <v>Não é uma boa Pessoa</v>
      </c>
    </row>
    <row r="23" spans="10:14" x14ac:dyDescent="0.25">
      <c r="J23" s="17"/>
      <c r="K23" s="10" t="s">
        <v>13</v>
      </c>
      <c r="L23" s="12" t="s">
        <v>15</v>
      </c>
      <c r="M23" s="16" t="s">
        <v>14</v>
      </c>
      <c r="N23" s="19" t="str">
        <f t="shared" si="3"/>
        <v>Não é uma boa Pessoa</v>
      </c>
    </row>
    <row r="24" spans="10:14" x14ac:dyDescent="0.25">
      <c r="J24" s="17"/>
      <c r="K24" s="10" t="s">
        <v>18</v>
      </c>
      <c r="L24" s="12" t="s">
        <v>14</v>
      </c>
      <c r="M24" s="16" t="s">
        <v>9</v>
      </c>
      <c r="N24" s="19" t="str">
        <f t="shared" si="3"/>
        <v>Não é uma boa Pessoa</v>
      </c>
    </row>
    <row r="25" spans="10:14" ht="15.75" thickBot="1" x14ac:dyDescent="0.3">
      <c r="J25" s="24"/>
      <c r="K25" s="25"/>
      <c r="L25" s="25"/>
      <c r="M25" s="25"/>
      <c r="N25" s="26"/>
    </row>
    <row r="26" spans="10:14" ht="15.75" thickBot="1" x14ac:dyDescent="0.3">
      <c r="J26" s="17"/>
      <c r="K26" s="7" t="s">
        <v>10</v>
      </c>
      <c r="L26" s="8" t="s">
        <v>11</v>
      </c>
      <c r="M26" s="13" t="s">
        <v>17</v>
      </c>
      <c r="N26" s="18" t="s">
        <v>58</v>
      </c>
    </row>
    <row r="27" spans="10:14" ht="15.75" thickTop="1" x14ac:dyDescent="0.25">
      <c r="J27" s="17"/>
      <c r="K27" s="9" t="s">
        <v>8</v>
      </c>
      <c r="L27" s="11" t="s">
        <v>14</v>
      </c>
      <c r="M27" s="14" t="s">
        <v>14</v>
      </c>
      <c r="N27" s="19" t="str">
        <f>IF(OR(L27="Sim",M27="Sim"),"Boa Pessoa","Não é uma boa Pessoa")</f>
        <v>Boa Pessoa</v>
      </c>
    </row>
    <row r="28" spans="10:14" x14ac:dyDescent="0.25">
      <c r="J28" s="37" t="s">
        <v>56</v>
      </c>
      <c r="K28" s="10" t="s">
        <v>12</v>
      </c>
      <c r="L28" s="12" t="s">
        <v>9</v>
      </c>
      <c r="M28" s="15" t="s">
        <v>9</v>
      </c>
      <c r="N28" s="19" t="str">
        <f t="shared" ref="N28:N30" si="4">IF(OR(L28="Sim",M28="Sim"),"Boa Pessoa","Não é uma boa Pessoa")</f>
        <v>Não é uma boa Pessoa</v>
      </c>
    </row>
    <row r="29" spans="10:14" x14ac:dyDescent="0.25">
      <c r="J29" s="17"/>
      <c r="K29" s="10" t="s">
        <v>13</v>
      </c>
      <c r="L29" s="12" t="s">
        <v>15</v>
      </c>
      <c r="M29" s="16" t="s">
        <v>14</v>
      </c>
      <c r="N29" s="19" t="str">
        <f t="shared" si="4"/>
        <v>Boa Pessoa</v>
      </c>
    </row>
    <row r="30" spans="10:14" x14ac:dyDescent="0.25">
      <c r="J30" s="17"/>
      <c r="K30" s="10" t="s">
        <v>18</v>
      </c>
      <c r="L30" s="12" t="s">
        <v>14</v>
      </c>
      <c r="M30" s="16" t="s">
        <v>9</v>
      </c>
      <c r="N30" s="19" t="str">
        <f t="shared" si="4"/>
        <v>Boa Pessoa</v>
      </c>
    </row>
    <row r="31" spans="10:14" ht="15.75" thickBot="1" x14ac:dyDescent="0.3">
      <c r="J31" s="21"/>
      <c r="K31" s="22"/>
      <c r="L31" s="22"/>
      <c r="M31" s="22"/>
      <c r="N31" s="23"/>
    </row>
    <row r="32" spans="10:14" ht="15.75" thickTop="1" x14ac:dyDescent="0.25"/>
  </sheetData>
  <mergeCells count="6">
    <mergeCell ref="J25:N25"/>
    <mergeCell ref="J31:N31"/>
    <mergeCell ref="J6:N6"/>
    <mergeCell ref="J12:N12"/>
    <mergeCell ref="C7:E7"/>
    <mergeCell ref="J18:N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37213@fiecalunos.lan</dc:creator>
  <cp:lastModifiedBy>37213@fiecalunos.lan</cp:lastModifiedBy>
  <dcterms:created xsi:type="dcterms:W3CDTF">2025-10-02T11:14:20Z</dcterms:created>
  <dcterms:modified xsi:type="dcterms:W3CDTF">2025-10-02T12:09:44Z</dcterms:modified>
</cp:coreProperties>
</file>