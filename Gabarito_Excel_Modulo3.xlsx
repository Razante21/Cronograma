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L-Ex01" sheetId="2" state="visible" r:id="rId2"/>
    <sheet xmlns:r="http://schemas.openxmlformats.org/officeDocument/2006/relationships" name="L-Ex02" sheetId="3" state="visible" r:id="rId3"/>
    <sheet xmlns:r="http://schemas.openxmlformats.org/officeDocument/2006/relationships" name="L-Ex03" sheetId="4" state="visible" r:id="rId4"/>
    <sheet xmlns:r="http://schemas.openxmlformats.org/officeDocument/2006/relationships" name="L-Ex04" sheetId="5" state="visible" r:id="rId5"/>
    <sheet xmlns:r="http://schemas.openxmlformats.org/officeDocument/2006/relationships" name="L-Ex05" sheetId="6" state="visible" r:id="rId6"/>
    <sheet xmlns:r="http://schemas.openxmlformats.org/officeDocument/2006/relationships" name="L-Ex06" sheetId="7" state="visible" r:id="rId7"/>
    <sheet xmlns:r="http://schemas.openxmlformats.org/officeDocument/2006/relationships" name="L-Ex07" sheetId="8" state="visible" r:id="rId8"/>
    <sheet xmlns:r="http://schemas.openxmlformats.org/officeDocument/2006/relationships" name="L-Ex08" sheetId="9" state="visible" r:id="rId9"/>
    <sheet xmlns:r="http://schemas.openxmlformats.org/officeDocument/2006/relationships" name="L-Ex09" sheetId="10" state="visible" r:id="rId10"/>
    <sheet xmlns:r="http://schemas.openxmlformats.org/officeDocument/2006/relationships" name="L-Ex10" sheetId="11" state="visible" r:id="rId11"/>
    <sheet xmlns:r="http://schemas.openxmlformats.org/officeDocument/2006/relationships" name="P-Q1" sheetId="12" state="visible" r:id="rId12"/>
    <sheet xmlns:r="http://schemas.openxmlformats.org/officeDocument/2006/relationships" name="P-Q2" sheetId="13" state="visible" r:id="rId13"/>
    <sheet xmlns:r="http://schemas.openxmlformats.org/officeDocument/2006/relationships" name="P-Q3" sheetId="14" state="visible" r:id="rId14"/>
    <sheet xmlns:r="http://schemas.openxmlformats.org/officeDocument/2006/relationships" name="P-Q4" sheetId="15" state="visible" r:id="rId15"/>
    <sheet xmlns:r="http://schemas.openxmlformats.org/officeDocument/2006/relationships" name="P-Q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R$ #,##0.00"/>
    <numFmt numFmtId="165" formatCode="0.0&quot;°C&quot;"/>
    <numFmt numFmtId="166" formatCode="0.0&quot; km/L&quot;"/>
    <numFmt numFmtId="167" formatCode="0.0"/>
    <numFmt numFmtId="168" formatCode="R$ #,##0"/>
    <numFmt numFmtId="169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1"/>
    </font>
    <font>
      <name val="Arial"/>
      <b val="1"/>
      <color rgb="00375623"/>
      <sz val="10"/>
    </font>
    <font>
      <name val="Arial"/>
      <color rgb="001A1A1A"/>
      <sz val="10"/>
    </font>
    <font>
      <name val="Arial"/>
      <b val="1"/>
      <color rgb="00FFFFFF"/>
      <sz val="12"/>
    </font>
    <font>
      <name val="Arial"/>
      <i val="1"/>
      <color rgb="00595959"/>
      <sz val="8.5"/>
    </font>
    <font>
      <name val="Arial"/>
      <b val="1"/>
      <color rgb="00FFFFFF"/>
      <sz val="10"/>
    </font>
    <font>
      <name val="Arial"/>
      <color rgb="00375623"/>
      <sz val="10"/>
    </font>
    <font>
      <name val="Arial"/>
      <b val="1"/>
      <color rgb="001A1A1A"/>
      <sz val="10"/>
    </font>
    <font>
      <name val="Arial"/>
      <b val="1"/>
      <color rgb="001F4E79"/>
      <sz val="10"/>
    </font>
    <font>
      <name val="Arial"/>
      <b val="1"/>
      <color rgb="001F4E79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center" vertical="center"/>
    </xf>
    <xf numFmtId="9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 wrapText="1"/>
    </xf>
    <xf numFmtId="164" fontId="4" fillId="5" borderId="1" applyAlignment="1" pivotButton="0" quotePrefix="0" xfId="0">
      <alignment horizontal="right" vertical="center" wrapText="1"/>
    </xf>
    <xf numFmtId="164" fontId="10" fillId="8" borderId="1" applyAlignment="1" pivotButton="0" quotePrefix="0" xfId="0">
      <alignment horizontal="center"/>
    </xf>
    <xf numFmtId="166" fontId="8" fillId="4" borderId="1" applyAlignment="1" pivotButton="0" quotePrefix="0" xfId="0">
      <alignment horizontal="center" vertical="center"/>
    </xf>
    <xf numFmtId="167" fontId="8" fillId="4" borderId="1" applyAlignment="1" pivotButton="0" quotePrefix="0" xfId="0">
      <alignment horizontal="center" vertical="center"/>
    </xf>
    <xf numFmtId="168" fontId="4" fillId="6" borderId="1" applyAlignment="1" pivotButton="0" quotePrefix="0" xfId="0">
      <alignment horizontal="right" vertical="center" wrapText="1"/>
    </xf>
    <xf numFmtId="168" fontId="8" fillId="4" borderId="1" applyAlignment="1" pivotButton="0" quotePrefix="0" xfId="0">
      <alignment horizontal="center" vertical="center"/>
    </xf>
    <xf numFmtId="168" fontId="4" fillId="5" borderId="1" applyAlignment="1" pivotButton="0" quotePrefix="0" xfId="0">
      <alignment horizontal="right" vertical="center" wrapText="1"/>
    </xf>
    <xf numFmtId="0" fontId="5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9" fontId="11" fillId="8" borderId="1" applyAlignment="1" pivotButton="0" quotePrefix="0" xfId="0">
      <alignment horizontal="center"/>
    </xf>
    <xf numFmtId="169" fontId="8" fillId="4" borderId="1" applyAlignment="1" pivotButton="0" quotePrefix="0" xfId="0">
      <alignment horizontal="center" vertical="center"/>
    </xf>
    <xf numFmtId="1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4" customWidth="1" min="3" max="3"/>
  </cols>
  <sheetData>
    <row r="2" ht="26" customHeight="1">
      <c r="B2" s="1" t="inlineStr">
        <is>
          <t>Gabarito — Lista de Exercícios e Prova</t>
        </is>
      </c>
    </row>
    <row r="3" ht="26" customHeight="1"/>
    <row r="4" ht="26" customHeight="1"/>
    <row r="5" ht="20" customHeight="1">
      <c r="B5" s="2" t="inlineStr">
        <is>
          <t>Excel Avançado — Módulo III  |  USO EXCLUSIVO DO PROFESSOR</t>
        </is>
      </c>
    </row>
    <row r="6" ht="20" customHeight="1"/>
    <row r="8" ht="10" customHeight="1"/>
    <row r="9" ht="20" customHeight="1">
      <c r="B9" s="3" t="inlineStr">
        <is>
          <t>Abas do gabarito:</t>
        </is>
      </c>
    </row>
    <row r="10" ht="18" customHeight="1">
      <c r="B10" s="4" t="inlineStr">
        <is>
          <t xml:space="preserve">  L-Ex01  —  Lista — Ex01: Classificação de Produtos</t>
        </is>
      </c>
    </row>
    <row r="11" ht="18" customHeight="1">
      <c r="B11" s="5" t="inlineStr">
        <is>
          <t xml:space="preserve">  L-Ex02  —  Lista — Ex02: Controle de Entrega</t>
        </is>
      </c>
    </row>
    <row r="12" ht="18" customHeight="1">
      <c r="B12" s="4" t="inlineStr">
        <is>
          <t xml:space="preserve">  L-Ex03  —  Lista — Ex03: Avaliação de Funcionários</t>
        </is>
      </c>
    </row>
    <row r="13" ht="18" customHeight="1">
      <c r="B13" s="5" t="inlineStr">
        <is>
          <t xml:space="preserve">  L-Ex04  —  Lista — Ex04: Temperatura de Equipamentos</t>
        </is>
      </c>
    </row>
    <row r="14" ht="18" customHeight="1">
      <c r="B14" s="4" t="inlineStr">
        <is>
          <t xml:space="preserve">  L-Ex05  —  Lista — Ex05: Mensalidades</t>
        </is>
      </c>
    </row>
    <row r="15" ht="18" customHeight="1">
      <c r="B15" s="5" t="inlineStr">
        <is>
          <t xml:space="preserve">  L-Ex06  —  Lista — Ex06: Frete com OU</t>
        </is>
      </c>
    </row>
    <row r="16" ht="18" customHeight="1">
      <c r="B16" s="4" t="inlineStr">
        <is>
          <t xml:space="preserve">  L-Ex07  —  Lista — Ex07: Campeonato</t>
        </is>
      </c>
    </row>
    <row r="17" ht="18" customHeight="1">
      <c r="B17" s="5" t="inlineStr">
        <is>
          <t xml:space="preserve">  L-Ex08  —  Lista — Ex08: Combustível</t>
        </is>
      </c>
    </row>
    <row r="18" ht="18" customHeight="1">
      <c r="B18" s="4" t="inlineStr">
        <is>
          <t xml:space="preserve">  L-Ex09  —  Lista — Ex09: Filmes</t>
        </is>
      </c>
    </row>
    <row r="19" ht="18" customHeight="1">
      <c r="B19" s="5" t="inlineStr">
        <is>
          <t xml:space="preserve">  L-Ex10  —  Lista — Ex10: Vendas Mensais</t>
        </is>
      </c>
    </row>
    <row r="20" ht="18" customHeight="1">
      <c r="B20" s="4" t="inlineStr">
        <is>
          <t xml:space="preserve">  P-Q1  —  Prova — Q1: Vendedores Trimestre</t>
        </is>
      </c>
    </row>
    <row r="21" ht="18" customHeight="1">
      <c r="B21" s="5" t="inlineStr">
        <is>
          <t xml:space="preserve">  P-Q2  —  Prova — Q2: Gestão de Estoque</t>
        </is>
      </c>
    </row>
    <row r="22" ht="18" customHeight="1">
      <c r="B22" s="4" t="inlineStr">
        <is>
          <t xml:space="preserve">  P-Q3  —  Prova — Q3: Boletim Escolar</t>
        </is>
      </c>
    </row>
    <row r="23" ht="18" customHeight="1">
      <c r="B23" s="5" t="inlineStr">
        <is>
          <t xml:space="preserve">  P-Q4  —  Prova — Q4: Análise de Projetos</t>
        </is>
      </c>
    </row>
    <row r="24" ht="18" customHeight="1">
      <c r="B24" s="4" t="inlineStr">
        <is>
          <t xml:space="preserve">  P-Q5  —  Prova — Q5: Planos de Saúde</t>
        </is>
      </c>
    </row>
  </sheetData>
  <mergeCells count="2">
    <mergeCell ref="B5:B6"/>
    <mergeCell ref="B2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16" customWidth="1" min="4" max="4"/>
    <col width="18" customWidth="1" min="5" max="5"/>
  </cols>
  <sheetData>
    <row r="1" ht="22" customHeight="1">
      <c r="A1" s="6" t="inlineStr">
        <is>
          <t>Gabarito — Exercício 1: Classificação de Produtos por Preço</t>
        </is>
      </c>
    </row>
    <row r="2" ht="16" customHeight="1">
      <c r="A2" s="7" t="inlineStr">
        <is>
          <t xml:space="preserve">  Células em verde = fórmulas do gabarito   |   Células em cinza = dados originais</t>
        </is>
      </c>
    </row>
    <row r="3" ht="6" customHeight="1"/>
    <row r="4">
      <c r="A4" s="8" t="inlineStr">
        <is>
          <t>Produto</t>
        </is>
      </c>
      <c r="B4" s="8" t="inlineStr">
        <is>
          <t>Preço (R$)</t>
        </is>
      </c>
      <c r="C4" s="8" t="inlineStr">
        <is>
          <t>Categoria</t>
        </is>
      </c>
      <c r="D4" s="8" t="inlineStr">
        <is>
          <t>Desconto (%)</t>
        </is>
      </c>
      <c r="E4" s="8" t="inlineStr">
        <is>
          <t>Preço Final (R$)</t>
        </is>
      </c>
    </row>
    <row r="5">
      <c r="A5" s="9" t="inlineStr">
        <is>
          <t>Notebook</t>
        </is>
      </c>
      <c r="B5" s="10" t="n">
        <v>3500</v>
      </c>
      <c r="C5" s="11">
        <f>SE(B5&gt;1000;"Premium";SE(B5&gt;200;"Intermediário";"Básico"))</f>
        <v/>
      </c>
      <c r="D5" s="12">
        <f>SE(C5="Premium";10%;SE(C5="Intermediário";5%;0%))</f>
        <v/>
      </c>
      <c r="E5" s="13">
        <f>B5*(1-D5)</f>
        <v/>
      </c>
    </row>
    <row r="6">
      <c r="A6" s="14" t="inlineStr">
        <is>
          <t>Mouse</t>
        </is>
      </c>
      <c r="B6" s="15" t="n">
        <v>85</v>
      </c>
      <c r="C6" s="11">
        <f>SE(B6&gt;1000;"Premium";SE(B6&gt;200;"Intermediário";"Básico"))</f>
        <v/>
      </c>
      <c r="D6" s="12">
        <f>SE(C6="Premium";10%;SE(C6="Intermediário";5%;0%))</f>
        <v/>
      </c>
      <c r="E6" s="13">
        <f>B6*(1-D6)</f>
        <v/>
      </c>
    </row>
    <row r="7">
      <c r="A7" s="9" t="inlineStr">
        <is>
          <t>Teclado</t>
        </is>
      </c>
      <c r="B7" s="10" t="n">
        <v>220</v>
      </c>
      <c r="C7" s="11">
        <f>SE(B7&gt;1000;"Premium";SE(B7&gt;200;"Intermediário";"Básico"))</f>
        <v/>
      </c>
      <c r="D7" s="12">
        <f>SE(C7="Premium";10%;SE(C7="Intermediário";5%;0%))</f>
        <v/>
      </c>
      <c r="E7" s="13">
        <f>B7*(1-D7)</f>
        <v/>
      </c>
    </row>
    <row r="8">
      <c r="A8" s="14" t="inlineStr">
        <is>
          <t>Monitor</t>
        </is>
      </c>
      <c r="B8" s="15" t="n">
        <v>1800</v>
      </c>
      <c r="C8" s="11">
        <f>SE(B8&gt;1000;"Premium";SE(B8&gt;200;"Intermediário";"Básico"))</f>
        <v/>
      </c>
      <c r="D8" s="12">
        <f>SE(C8="Premium";10%;SE(C8="Intermediário";5%;0%))</f>
        <v/>
      </c>
      <c r="E8" s="13">
        <f>B8*(1-D8)</f>
        <v/>
      </c>
    </row>
    <row r="9">
      <c r="A9" s="9" t="inlineStr">
        <is>
          <t>Headset</t>
        </is>
      </c>
      <c r="B9" s="10" t="n">
        <v>450</v>
      </c>
      <c r="C9" s="11">
        <f>SE(B9&gt;1000;"Premium";SE(B9&gt;200;"Intermediário";"Básico"))</f>
        <v/>
      </c>
      <c r="D9" s="12">
        <f>SE(C9="Premium";10%;SE(C9="Intermediário";5%;0%))</f>
        <v/>
      </c>
      <c r="E9" s="13">
        <f>B9*(1-D9)</f>
        <v/>
      </c>
    </row>
    <row r="10">
      <c r="A10" s="14" t="inlineStr">
        <is>
          <t>Webcam</t>
        </is>
      </c>
      <c r="B10" s="15" t="n">
        <v>310</v>
      </c>
      <c r="C10" s="11">
        <f>SE(B10&gt;1000;"Premium";SE(B10&gt;200;"Intermediário";"Básico"))</f>
        <v/>
      </c>
      <c r="D10" s="12">
        <f>SE(C10="Premium";10%;SE(C10="Intermediário";5%;0%))</f>
        <v/>
      </c>
      <c r="E10" s="13">
        <f>B10*(1-D10)</f>
        <v/>
      </c>
    </row>
    <row r="11">
      <c r="A11" s="9" t="inlineStr">
        <is>
          <t>HD Externo</t>
        </is>
      </c>
      <c r="B11" s="10" t="n">
        <v>290</v>
      </c>
      <c r="C11" s="11">
        <f>SE(B11&gt;1000;"Premium";SE(B11&gt;200;"Intermediário";"Básico"))</f>
        <v/>
      </c>
      <c r="D11" s="12">
        <f>SE(C11="Premium";10%;SE(C11="Intermediário";5%;0%))</f>
        <v/>
      </c>
      <c r="E11" s="13">
        <f>B11*(1-D11)</f>
        <v/>
      </c>
    </row>
    <row r="12">
      <c r="A12" s="14" t="inlineStr">
        <is>
          <t>Pen Drive</t>
        </is>
      </c>
      <c r="B12" s="15" t="n">
        <v>45</v>
      </c>
      <c r="C12" s="11">
        <f>SE(B12&gt;1000;"Premium";SE(B12&gt;200;"Intermediário";"Básico"))</f>
        <v/>
      </c>
      <c r="D12" s="12">
        <f>SE(C12="Premium";10%;SE(C12="Intermediário";5%;0%))</f>
        <v/>
      </c>
      <c r="E12" s="13">
        <f>B12*(1-D12)</f>
        <v/>
      </c>
    </row>
    <row r="13" ht="6" customHeight="1"/>
    <row r="14">
      <c r="A14" s="16" t="inlineStr">
        <is>
          <t>Maior preço:</t>
        </is>
      </c>
      <c r="B14" s="13">
        <f>MÁXIMO(B5:B12)</f>
        <v/>
      </c>
    </row>
    <row r="15">
      <c r="A15" s="16" t="inlineStr">
        <is>
          <t>Menor preço:</t>
        </is>
      </c>
      <c r="B15" s="13">
        <f>MÍNIMO(B5:B12)</f>
        <v/>
      </c>
    </row>
    <row r="16">
      <c r="A16" s="16" t="inlineStr">
        <is>
          <t>Média geral:</t>
        </is>
      </c>
      <c r="B16" s="13">
        <f>MÉDIA(B5:B12)</f>
        <v/>
      </c>
    </row>
  </sheetData>
  <mergeCells count="4">
    <mergeCell ref="A2:E2"/>
    <mergeCell ref="A1:E1"/>
    <mergeCell ref="A13:E1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8" customWidth="1" min="4" max="4"/>
    <col width="16" customWidth="1" min="5" max="5"/>
  </cols>
  <sheetData>
    <row r="1" ht="22" customHeight="1">
      <c r="A1" s="6" t="inlineStr">
        <is>
          <t>Gabarito — Exercício 2: Controle de Entrega de Pedidos</t>
        </is>
      </c>
    </row>
    <row r="2" ht="16" customHeight="1">
      <c r="A2" s="7" t="inlineStr">
        <is>
          <t xml:space="preserve">  Células em verde = fórmulas do gabarito   |   Células em cinza = dados originais</t>
        </is>
      </c>
    </row>
    <row r="3" ht="6" customHeight="1"/>
    <row r="4">
      <c r="A4" s="8" t="inlineStr">
        <is>
          <t>Pedido</t>
        </is>
      </c>
      <c r="B4" s="8" t="inlineStr">
        <is>
          <t>Prazo (dias)</t>
        </is>
      </c>
      <c r="C4" s="8" t="inlineStr">
        <is>
          <t>Entregue em (dias)</t>
        </is>
      </c>
      <c r="D4" s="8" t="inlineStr">
        <is>
          <t>Status</t>
        </is>
      </c>
      <c r="E4" s="8" t="inlineStr">
        <is>
          <t>Multa (R$)</t>
        </is>
      </c>
    </row>
    <row r="5">
      <c r="A5" s="17" t="inlineStr">
        <is>
          <t>P001</t>
        </is>
      </c>
      <c r="B5" s="17" t="n">
        <v>5</v>
      </c>
      <c r="C5" s="17" t="n">
        <v>4</v>
      </c>
      <c r="D5" s="11">
        <f>SE(C5&lt;B5;"Adiantado";SE(C5=B5;"No prazo";"Atrasado"))</f>
        <v/>
      </c>
      <c r="E5" s="13">
        <f>SE(D5="Atrasado";50*(C5-B5);0)</f>
        <v/>
      </c>
    </row>
    <row r="6">
      <c r="A6" s="18" t="inlineStr">
        <is>
          <t>P002</t>
        </is>
      </c>
      <c r="B6" s="18" t="n">
        <v>3</v>
      </c>
      <c r="C6" s="18" t="n">
        <v>5</v>
      </c>
      <c r="D6" s="11">
        <f>SE(C6&lt;B6;"Adiantado";SE(C6=B6;"No prazo";"Atrasado"))</f>
        <v/>
      </c>
      <c r="E6" s="13">
        <f>SE(D6="Atrasado";50*(C6-B6);0)</f>
        <v/>
      </c>
    </row>
    <row r="7">
      <c r="A7" s="17" t="inlineStr">
        <is>
          <t>P003</t>
        </is>
      </c>
      <c r="B7" s="17" t="n">
        <v>7</v>
      </c>
      <c r="C7" s="17" t="n">
        <v>7</v>
      </c>
      <c r="D7" s="11">
        <f>SE(C7&lt;B7;"Adiantado";SE(C7=B7;"No prazo";"Atrasado"))</f>
        <v/>
      </c>
      <c r="E7" s="13">
        <f>SE(D7="Atrasado";50*(C7-B7);0)</f>
        <v/>
      </c>
    </row>
    <row r="8">
      <c r="A8" s="18" t="inlineStr">
        <is>
          <t>P004</t>
        </is>
      </c>
      <c r="B8" s="18" t="n">
        <v>2</v>
      </c>
      <c r="C8" s="18" t="n">
        <v>4</v>
      </c>
      <c r="D8" s="11">
        <f>SE(C8&lt;B8;"Adiantado";SE(C8=B8;"No prazo";"Atrasado"))</f>
        <v/>
      </c>
      <c r="E8" s="13">
        <f>SE(D8="Atrasado";50*(C8-B8);0)</f>
        <v/>
      </c>
    </row>
    <row r="9">
      <c r="A9" s="17" t="inlineStr">
        <is>
          <t>P005</t>
        </is>
      </c>
      <c r="B9" s="17" t="n">
        <v>10</v>
      </c>
      <c r="C9" s="17" t="n">
        <v>8</v>
      </c>
      <c r="D9" s="11">
        <f>SE(C9&lt;B9;"Adiantado";SE(C9=B9;"No prazo";"Atrasado"))</f>
        <v/>
      </c>
      <c r="E9" s="13">
        <f>SE(D9="Atrasado";50*(C9-B9);0)</f>
        <v/>
      </c>
    </row>
    <row r="10">
      <c r="A10" s="18" t="inlineStr">
        <is>
          <t>P006</t>
        </is>
      </c>
      <c r="B10" s="18" t="n">
        <v>5</v>
      </c>
      <c r="C10" s="18" t="n">
        <v>5</v>
      </c>
      <c r="D10" s="11">
        <f>SE(C10&lt;B10;"Adiantado";SE(C10=B10;"No prazo";"Atrasado"))</f>
        <v/>
      </c>
      <c r="E10" s="13">
        <f>SE(D10="Atrasado";50*(C10-B10);0)</f>
        <v/>
      </c>
    </row>
    <row r="11">
      <c r="A11" s="17" t="inlineStr">
        <is>
          <t>P007</t>
        </is>
      </c>
      <c r="B11" s="17" t="n">
        <v>3</v>
      </c>
      <c r="C11" s="17" t="n">
        <v>6</v>
      </c>
      <c r="D11" s="11">
        <f>SE(C11&lt;B11;"Adiantado";SE(C11=B11;"No prazo";"Atrasado"))</f>
        <v/>
      </c>
      <c r="E11" s="13">
        <f>SE(D11="Atrasado";50*(C11-B11);0)</f>
        <v/>
      </c>
    </row>
    <row r="12" ht="6" customHeight="1"/>
    <row r="13">
      <c r="A13" s="16" t="inlineStr">
        <is>
          <t>Total de multas:</t>
        </is>
      </c>
      <c r="B13" s="13">
        <f>SOMA(E5:E11)</f>
        <v/>
      </c>
    </row>
  </sheetData>
  <mergeCells count="4">
    <mergeCell ref="A2:E2"/>
    <mergeCell ref="A1:E1"/>
    <mergeCell ref="A12:E1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8" customWidth="1" min="4" max="4"/>
    <col width="14" customWidth="1" min="5" max="5"/>
  </cols>
  <sheetData>
    <row r="1" ht="22" customHeight="1">
      <c r="A1" s="6" t="inlineStr">
        <is>
          <t>Gabarito — Exercício 3: Avaliação de Funcionários</t>
        </is>
      </c>
    </row>
    <row r="2" ht="16" customHeight="1">
      <c r="A2" s="7" t="inlineStr">
        <is>
          <t xml:space="preserve">  Células em verde = fórmulas do gabarito   |   Células em cinza = dados originais</t>
        </is>
      </c>
    </row>
    <row r="3" ht="6" customHeight="1"/>
    <row r="4">
      <c r="A4" s="8" t="inlineStr">
        <is>
          <t>Funcionário</t>
        </is>
      </c>
      <c r="B4" s="8" t="inlineStr">
        <is>
          <t>Produtividade (%)</t>
        </is>
      </c>
      <c r="C4" s="8" t="inlineStr">
        <is>
          <t>Faltas</t>
        </is>
      </c>
      <c r="D4" s="8" t="inlineStr">
        <is>
          <t>Avaliação</t>
        </is>
      </c>
      <c r="E4" s="8" t="inlineStr">
        <is>
          <t>Bônus (R$)</t>
        </is>
      </c>
    </row>
    <row r="5">
      <c r="A5" s="9" t="inlineStr">
        <is>
          <t>Amanda</t>
        </is>
      </c>
      <c r="B5" s="19" t="n">
        <v>0.92</v>
      </c>
      <c r="C5" s="17" t="n">
        <v>0</v>
      </c>
      <c r="D5" s="11">
        <f>SE(E(B5&gt;=0,9;C5=0);"Excelente";SE(E(B5&gt;=0,75;C5&lt;=2);"Bom";"Precisa melhorar"))</f>
        <v/>
      </c>
      <c r="E5" s="13">
        <f>SE(D5="Excelente";500;SE(D5="Bom";200;0))</f>
        <v/>
      </c>
    </row>
    <row r="6">
      <c r="A6" s="14" t="inlineStr">
        <is>
          <t>Bruno</t>
        </is>
      </c>
      <c r="B6" s="20" t="n">
        <v>0.75</v>
      </c>
      <c r="C6" s="18" t="n">
        <v>2</v>
      </c>
      <c r="D6" s="11">
        <f>SE(E(B6&gt;=0,9;C6=0);"Excelente";SE(E(B6&gt;=0,75;C6&lt;=2);"Bom";"Precisa melhorar"))</f>
        <v/>
      </c>
      <c r="E6" s="13">
        <f>SE(D6="Excelente";500;SE(D6="Bom";200;0))</f>
        <v/>
      </c>
    </row>
    <row r="7">
      <c r="A7" s="9" t="inlineStr">
        <is>
          <t>Carla</t>
        </is>
      </c>
      <c r="B7" s="19" t="n">
        <v>0.85</v>
      </c>
      <c r="C7" s="17" t="n">
        <v>1</v>
      </c>
      <c r="D7" s="11">
        <f>SE(E(B7&gt;=0,9;C7=0);"Excelente";SE(E(B7&gt;=0,75;C7&lt;=2);"Bom";"Precisa melhorar"))</f>
        <v/>
      </c>
      <c r="E7" s="13">
        <f>SE(D7="Excelente";500;SE(D7="Bom";200;0))</f>
        <v/>
      </c>
    </row>
    <row r="8">
      <c r="A8" s="14" t="inlineStr">
        <is>
          <t>Daniel</t>
        </is>
      </c>
      <c r="B8" s="20" t="n">
        <v>0.6</v>
      </c>
      <c r="C8" s="18" t="n">
        <v>4</v>
      </c>
      <c r="D8" s="11">
        <f>SE(E(B8&gt;=0,9;C8=0);"Excelente";SE(E(B8&gt;=0,75;C8&lt;=2);"Bom";"Precisa melhorar"))</f>
        <v/>
      </c>
      <c r="E8" s="13">
        <f>SE(D8="Excelente";500;SE(D8="Bom";200;0))</f>
        <v/>
      </c>
    </row>
    <row r="9">
      <c r="A9" s="9" t="inlineStr">
        <is>
          <t>Elisa</t>
        </is>
      </c>
      <c r="B9" s="19" t="n">
        <v>0.98</v>
      </c>
      <c r="C9" s="17" t="n">
        <v>0</v>
      </c>
      <c r="D9" s="11">
        <f>SE(E(B9&gt;=0,9;C9=0);"Excelente";SE(E(B9&gt;=0,75;C9&lt;=2);"Bom";"Precisa melhorar"))</f>
        <v/>
      </c>
      <c r="E9" s="13">
        <f>SE(D9="Excelente";500;SE(D9="Bom";200;0))</f>
        <v/>
      </c>
    </row>
    <row r="10">
      <c r="A10" s="14" t="inlineStr">
        <is>
          <t>Felipe</t>
        </is>
      </c>
      <c r="B10" s="20" t="n">
        <v>0.7</v>
      </c>
      <c r="C10" s="18" t="n">
        <v>3</v>
      </c>
      <c r="D10" s="11">
        <f>SE(E(B10&gt;=0,9;C10=0);"Excelente";SE(E(B10&gt;=0,75;C10&lt;=2);"Bom";"Precisa melhorar"))</f>
        <v/>
      </c>
      <c r="E10" s="13">
        <f>SE(D10="Excelente";500;SE(D10="Bom";200;0))</f>
        <v/>
      </c>
    </row>
    <row r="11">
      <c r="A11" s="9" t="inlineStr">
        <is>
          <t>Gisele</t>
        </is>
      </c>
      <c r="B11" s="19" t="n">
        <v>0.88</v>
      </c>
      <c r="C11" s="17" t="n">
        <v>0</v>
      </c>
      <c r="D11" s="11">
        <f>SE(E(B11&gt;=0,9;C11=0);"Excelente";SE(E(B11&gt;=0,75;C11&lt;=2);"Bom";"Precisa melhorar"))</f>
        <v/>
      </c>
      <c r="E11" s="13">
        <f>SE(D11="Excelente";500;SE(D11="Bom";200;0))</f>
        <v/>
      </c>
    </row>
    <row r="12" ht="6" customHeight="1"/>
    <row r="13">
      <c r="A13" s="16" t="inlineStr">
        <is>
          <t>Total de bônus:</t>
        </is>
      </c>
      <c r="B13" s="13">
        <f>SOMA(E5:E11)</f>
        <v/>
      </c>
    </row>
    <row r="14">
      <c r="A14" s="16" t="inlineStr">
        <is>
          <t>Maior produtividade:</t>
        </is>
      </c>
      <c r="B14" s="12">
        <f>MÁXIMO(B5:B11)</f>
        <v/>
      </c>
    </row>
    <row r="15">
      <c r="A15" s="16" t="inlineStr">
        <is>
          <t>Menor produtividade:</t>
        </is>
      </c>
      <c r="B15" s="12">
        <f>MÍNIMO(B5:B11)</f>
        <v/>
      </c>
    </row>
  </sheetData>
  <mergeCells count="4">
    <mergeCell ref="A2:E2"/>
    <mergeCell ref="A1:E1"/>
    <mergeCell ref="A12:E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8" customWidth="1" min="4" max="4"/>
  </cols>
  <sheetData>
    <row r="1" ht="22" customHeight="1">
      <c r="A1" s="6" t="inlineStr">
        <is>
          <t>Gabarito — Exercício 4: Temperatura de Equipamentos</t>
        </is>
      </c>
    </row>
    <row r="2" ht="16" customHeight="1">
      <c r="A2" s="7" t="inlineStr">
        <is>
          <t xml:space="preserve">  Células em verde = fórmulas do gabarito   |   Células em cinza = dados originais</t>
        </is>
      </c>
    </row>
    <row r="3" ht="6" customHeight="1"/>
    <row r="4">
      <c r="A4" s="8" t="inlineStr">
        <is>
          <t>Equipamento</t>
        </is>
      </c>
      <c r="B4" s="8" t="inlineStr">
        <is>
          <t>Temp. (°C)</t>
        </is>
      </c>
      <c r="C4" s="8" t="inlineStr">
        <is>
          <t>Situação</t>
        </is>
      </c>
      <c r="D4" s="8" t="inlineStr">
        <is>
          <t>Ação Necessária</t>
        </is>
      </c>
    </row>
    <row r="5">
      <c r="A5" s="9" t="inlineStr">
        <is>
          <t>Servidor A</t>
        </is>
      </c>
      <c r="B5" s="17" t="n">
        <v>72</v>
      </c>
      <c r="C5" s="11">
        <f>SE(B5&gt;85;"Crítico";SE(B5&gt;70;"Atenção";"Normal"))</f>
        <v/>
      </c>
      <c r="D5" s="11">
        <f>SE(C5="Crítico";"Desligar imediatamente";SE(C5="Atenção";"Verificar";"OK"))</f>
        <v/>
      </c>
    </row>
    <row r="6">
      <c r="A6" s="14" t="inlineStr">
        <is>
          <t>Servidor B</t>
        </is>
      </c>
      <c r="B6" s="18" t="n">
        <v>55</v>
      </c>
      <c r="C6" s="11">
        <f>SE(B6&gt;85;"Crítico";SE(B6&gt;70;"Atenção";"Normal"))</f>
        <v/>
      </c>
      <c r="D6" s="11">
        <f>SE(C6="Crítico";"Desligar imediatamente";SE(C6="Atenção";"Verificar";"OK"))</f>
        <v/>
      </c>
    </row>
    <row r="7">
      <c r="A7" s="9" t="inlineStr">
        <is>
          <t>Roteador</t>
        </is>
      </c>
      <c r="B7" s="17" t="n">
        <v>90</v>
      </c>
      <c r="C7" s="11">
        <f>SE(B7&gt;85;"Crítico";SE(B7&gt;70;"Atenção";"Normal"))</f>
        <v/>
      </c>
      <c r="D7" s="11">
        <f>SE(C7="Crítico";"Desligar imediatamente";SE(C7="Atenção";"Verificar";"OK"))</f>
        <v/>
      </c>
    </row>
    <row r="8">
      <c r="A8" s="14" t="inlineStr">
        <is>
          <t>Switch</t>
        </is>
      </c>
      <c r="B8" s="18" t="n">
        <v>48</v>
      </c>
      <c r="C8" s="11">
        <f>SE(B8&gt;85;"Crítico";SE(B8&gt;70;"Atenção";"Normal"))</f>
        <v/>
      </c>
      <c r="D8" s="11">
        <f>SE(C8="Crítico";"Desligar imediatamente";SE(C8="Atenção";"Verificar";"OK"))</f>
        <v/>
      </c>
    </row>
    <row r="9">
      <c r="A9" s="9" t="inlineStr">
        <is>
          <t>Firewall</t>
        </is>
      </c>
      <c r="B9" s="17" t="n">
        <v>65</v>
      </c>
      <c r="C9" s="11">
        <f>SE(B9&gt;85;"Crítico";SE(B9&gt;70;"Atenção";"Normal"))</f>
        <v/>
      </c>
      <c r="D9" s="11">
        <f>SE(C9="Crítico";"Desligar imediatamente";SE(C9="Atenção";"Verificar";"OK"))</f>
        <v/>
      </c>
    </row>
    <row r="10">
      <c r="A10" s="14" t="inlineStr">
        <is>
          <t>NAS</t>
        </is>
      </c>
      <c r="B10" s="18" t="n">
        <v>80</v>
      </c>
      <c r="C10" s="11">
        <f>SE(B10&gt;85;"Crítico";SE(B10&gt;70;"Atenção";"Normal"))</f>
        <v/>
      </c>
      <c r="D10" s="11">
        <f>SE(C10="Crítico";"Desligar imediatamente";SE(C10="Atenção";"Verificar";"OK"))</f>
        <v/>
      </c>
    </row>
    <row r="11" ht="6" customHeight="1"/>
    <row r="12">
      <c r="A12" s="16" t="inlineStr">
        <is>
          <t>Temperatura média:</t>
        </is>
      </c>
      <c r="B12" s="21">
        <f>MÉDIA(B5:B10)</f>
        <v/>
      </c>
    </row>
    <row r="13">
      <c r="A13" s="16" t="inlineStr">
        <is>
          <t>Maior temperatura:</t>
        </is>
      </c>
      <c r="B13" s="21">
        <f>MÁXIMO(B5:B10)</f>
        <v/>
      </c>
    </row>
  </sheetData>
  <mergeCells count="4">
    <mergeCell ref="A1:D1"/>
    <mergeCell ref="A3:D3"/>
    <mergeCell ref="A2:D2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6" t="inlineStr">
        <is>
          <t>Gabarito — Exercício 5: Controle de Mensalidades</t>
        </is>
      </c>
    </row>
    <row r="2" ht="16" customHeight="1">
      <c r="A2" s="7" t="inlineStr">
        <is>
          <t xml:space="preserve">  Células em verde = fórmulas do gabarito   |   Células em cinza = dados originais</t>
        </is>
      </c>
    </row>
    <row r="3" ht="6" customHeight="1"/>
    <row r="4">
      <c r="A4" s="8" t="inlineStr">
        <is>
          <t>Aluno</t>
        </is>
      </c>
      <c r="B4" s="8" t="inlineStr">
        <is>
          <t>Mensalidade (R$)</t>
        </is>
      </c>
      <c r="C4" s="8" t="inlineStr">
        <is>
          <t>Meses em Atraso</t>
        </is>
      </c>
      <c r="D4" s="8" t="inlineStr">
        <is>
          <t>Status</t>
        </is>
      </c>
      <c r="E4" s="8" t="inlineStr">
        <is>
          <t>Desconto (%)</t>
        </is>
      </c>
    </row>
    <row r="5">
      <c r="A5" s="9" t="inlineStr">
        <is>
          <t>Ana</t>
        </is>
      </c>
      <c r="B5" s="22" t="n">
        <v>650</v>
      </c>
      <c r="C5" s="17" t="n">
        <v>0</v>
      </c>
      <c r="D5" s="11">
        <f>SE(C5=0;"Em dia";SE(C5&lt;=3;"Inadimplente";"Bloqueado"))</f>
        <v/>
      </c>
      <c r="E5" s="12">
        <f>SE(D5="Em dia";5%;0%)</f>
        <v/>
      </c>
    </row>
    <row r="6">
      <c r="A6" s="14" t="inlineStr">
        <is>
          <t>Bruno</t>
        </is>
      </c>
      <c r="B6" s="23" t="n">
        <v>800</v>
      </c>
      <c r="C6" s="18" t="n">
        <v>2</v>
      </c>
      <c r="D6" s="11">
        <f>SE(C6=0;"Em dia";SE(C6&lt;=3;"Inadimplente";"Bloqueado"))</f>
        <v/>
      </c>
      <c r="E6" s="12">
        <f>SE(D6="Em dia";5%;0%)</f>
        <v/>
      </c>
    </row>
    <row r="7">
      <c r="A7" s="9" t="inlineStr">
        <is>
          <t>Carla</t>
        </is>
      </c>
      <c r="B7" s="22" t="n">
        <v>650</v>
      </c>
      <c r="C7" s="17" t="n">
        <v>0</v>
      </c>
      <c r="D7" s="11">
        <f>SE(C7=0;"Em dia";SE(C7&lt;=3;"Inadimplente";"Bloqueado"))</f>
        <v/>
      </c>
      <c r="E7" s="12">
        <f>SE(D7="Em dia";5%;0%)</f>
        <v/>
      </c>
    </row>
    <row r="8">
      <c r="A8" s="14" t="inlineStr">
        <is>
          <t>Daniel</t>
        </is>
      </c>
      <c r="B8" s="23" t="n">
        <v>900</v>
      </c>
      <c r="C8" s="18" t="n">
        <v>5</v>
      </c>
      <c r="D8" s="11">
        <f>SE(C8=0;"Em dia";SE(C8&lt;=3;"Inadimplente";"Bloqueado"))</f>
        <v/>
      </c>
      <c r="E8" s="12">
        <f>SE(D8="Em dia";5%;0%)</f>
        <v/>
      </c>
    </row>
    <row r="9">
      <c r="A9" s="9" t="inlineStr">
        <is>
          <t>Elisa</t>
        </is>
      </c>
      <c r="B9" s="22" t="n">
        <v>700</v>
      </c>
      <c r="C9" s="17" t="n">
        <v>1</v>
      </c>
      <c r="D9" s="11">
        <f>SE(C9=0;"Em dia";SE(C9&lt;=3;"Inadimplente";"Bloqueado"))</f>
        <v/>
      </c>
      <c r="E9" s="12">
        <f>SE(D9="Em dia";5%;0%)</f>
        <v/>
      </c>
    </row>
    <row r="10">
      <c r="A10" s="14" t="inlineStr">
        <is>
          <t>Felipe</t>
        </is>
      </c>
      <c r="B10" s="23" t="n">
        <v>650</v>
      </c>
      <c r="C10" s="18" t="n">
        <v>3</v>
      </c>
      <c r="D10" s="11">
        <f>SE(C10=0;"Em dia";SE(C10&lt;=3;"Inadimplente";"Bloqueado"))</f>
        <v/>
      </c>
      <c r="E10" s="12">
        <f>SE(D10="Em dia";5%;0%)</f>
        <v/>
      </c>
    </row>
    <row r="11" ht="6" customHeight="1"/>
    <row r="12">
      <c r="A12" s="16" t="inlineStr">
        <is>
          <t>Total mensalidades:</t>
        </is>
      </c>
      <c r="B12" s="13">
        <f>SOMA(B5:B10)</f>
        <v/>
      </c>
    </row>
    <row r="13">
      <c r="A13" s="16" t="inlineStr">
        <is>
          <t>Maior mensalidade:</t>
        </is>
      </c>
      <c r="B13" s="13">
        <f>MÁXIMO(B5:B10)</f>
        <v/>
      </c>
    </row>
    <row r="14">
      <c r="A14" s="16" t="inlineStr">
        <is>
          <t>Menor mensalidade:</t>
        </is>
      </c>
      <c r="B14" s="13">
        <f>MÍNIMO(B5:B10)</f>
        <v/>
      </c>
    </row>
  </sheetData>
  <mergeCells count="4">
    <mergeCell ref="A2:E2"/>
    <mergeCell ref="A11:E11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  <col width="14" customWidth="1" min="5" max="5"/>
  </cols>
  <sheetData>
    <row r="1" ht="22" customHeight="1">
      <c r="A1" s="6" t="inlineStr">
        <is>
          <t>Gabarito — Exercício 6: Tabela de Frete com OU</t>
        </is>
      </c>
    </row>
    <row r="2" ht="16" customHeight="1">
      <c r="A2" s="7" t="inlineStr">
        <is>
          <t xml:space="preserve">  Células em verde = fórmulas do gabarito   |   Células em cinza = dados originais</t>
        </is>
      </c>
    </row>
    <row r="3" ht="6" customHeight="1"/>
    <row r="4">
      <c r="A4" s="16" t="inlineStr">
        <is>
          <t>Taxa de Frete (R$/kg):</t>
        </is>
      </c>
      <c r="B4" s="24" t="n">
        <v>3.5</v>
      </c>
    </row>
    <row r="5" ht="6" customHeight="1"/>
    <row r="6">
      <c r="A6" s="8" t="inlineStr">
        <is>
          <t>Pedido</t>
        </is>
      </c>
      <c r="B6" s="8" t="inlineStr">
        <is>
          <t>Peso (kg)</t>
        </is>
      </c>
      <c r="C6" s="8" t="inlineStr">
        <is>
          <t>Destino</t>
        </is>
      </c>
      <c r="D6" s="8" t="inlineStr">
        <is>
          <t>Frete (R$)</t>
        </is>
      </c>
      <c r="E6" s="8" t="inlineStr">
        <is>
          <t>Frete Grátis?</t>
        </is>
      </c>
    </row>
    <row r="7">
      <c r="A7" s="17" t="inlineStr">
        <is>
          <t>001</t>
        </is>
      </c>
      <c r="B7" s="17" t="n">
        <v>2</v>
      </c>
      <c r="C7" s="17" t="inlineStr">
        <is>
          <t>SP</t>
        </is>
      </c>
      <c r="D7" s="13">
        <f>B7*$B$4</f>
        <v/>
      </c>
      <c r="E7" s="11">
        <f>SE(OU(B7&lt;3;D7&lt;15);"Sim";"Não")</f>
        <v/>
      </c>
    </row>
    <row r="8">
      <c r="A8" s="18" t="inlineStr">
        <is>
          <t>002</t>
        </is>
      </c>
      <c r="B8" s="18" t="n">
        <v>8</v>
      </c>
      <c r="C8" s="18" t="inlineStr">
        <is>
          <t>RJ</t>
        </is>
      </c>
      <c r="D8" s="13">
        <f>B8*$B$4</f>
        <v/>
      </c>
      <c r="E8" s="11">
        <f>SE(OU(B8&lt;3;D8&lt;15);"Sim";"Não")</f>
        <v/>
      </c>
    </row>
    <row r="9">
      <c r="A9" s="17" t="inlineStr">
        <is>
          <t>003</t>
        </is>
      </c>
      <c r="B9" s="17" t="n">
        <v>1</v>
      </c>
      <c r="C9" s="17" t="inlineStr">
        <is>
          <t>MG</t>
        </is>
      </c>
      <c r="D9" s="13">
        <f>B9*$B$4</f>
        <v/>
      </c>
      <c r="E9" s="11">
        <f>SE(OU(B9&lt;3;D9&lt;15);"Sim";"Não")</f>
        <v/>
      </c>
    </row>
    <row r="10">
      <c r="A10" s="18" t="inlineStr">
        <is>
          <t>004</t>
        </is>
      </c>
      <c r="B10" s="18" t="n">
        <v>15</v>
      </c>
      <c r="C10" s="18" t="inlineStr">
        <is>
          <t>RS</t>
        </is>
      </c>
      <c r="D10" s="13">
        <f>B10*$B$4</f>
        <v/>
      </c>
      <c r="E10" s="11">
        <f>SE(OU(B10&lt;3;D10&lt;15);"Sim";"Não")</f>
        <v/>
      </c>
    </row>
    <row r="11">
      <c r="A11" s="17" t="inlineStr">
        <is>
          <t>005</t>
        </is>
      </c>
      <c r="B11" s="17" t="n">
        <v>5</v>
      </c>
      <c r="C11" s="17" t="inlineStr">
        <is>
          <t>BA</t>
        </is>
      </c>
      <c r="D11" s="13">
        <f>B11*$B$4</f>
        <v/>
      </c>
      <c r="E11" s="11">
        <f>SE(OU(B11&lt;3;D11&lt;15);"Sim";"Não")</f>
        <v/>
      </c>
    </row>
    <row r="12">
      <c r="A12" s="18" t="inlineStr">
        <is>
          <t>006</t>
        </is>
      </c>
      <c r="B12" s="18" t="n">
        <v>3</v>
      </c>
      <c r="C12" s="18" t="inlineStr">
        <is>
          <t>PR</t>
        </is>
      </c>
      <c r="D12" s="13">
        <f>B12*$B$4</f>
        <v/>
      </c>
      <c r="E12" s="11">
        <f>SE(OU(B12&lt;3;D12&lt;15);"Sim";"Não")</f>
        <v/>
      </c>
    </row>
    <row r="13" ht="6" customHeight="1"/>
    <row r="14">
      <c r="A14" s="16" t="inlineStr">
        <is>
          <t>Total geral de frete:</t>
        </is>
      </c>
      <c r="B14" s="13">
        <f>SOMA(D7:D12)</f>
        <v/>
      </c>
    </row>
  </sheetData>
  <mergeCells count="5">
    <mergeCell ref="A2:E2"/>
    <mergeCell ref="A1:E1"/>
    <mergeCell ref="A5:E5"/>
    <mergeCell ref="A13:E13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 ht="22" customHeight="1">
      <c r="A1" s="6" t="inlineStr">
        <is>
          <t>Gabarito — Exercício 7: Resultado de Campeonato</t>
        </is>
      </c>
    </row>
    <row r="2" ht="16" customHeight="1">
      <c r="A2" s="7" t="inlineStr">
        <is>
          <t xml:space="preserve">  Células em verde = fórmulas do gabarito   |   Células em cinza = dados originais</t>
        </is>
      </c>
    </row>
    <row r="3" ht="6" customHeight="1"/>
    <row r="4">
      <c r="A4" s="8" t="inlineStr">
        <is>
          <t>Time</t>
        </is>
      </c>
      <c r="B4" s="8" t="inlineStr">
        <is>
          <t>Vitórias</t>
        </is>
      </c>
      <c r="C4" s="8" t="inlineStr">
        <is>
          <t>Derrotas</t>
        </is>
      </c>
      <c r="D4" s="8" t="inlineStr">
        <is>
          <t>Pontos</t>
        </is>
      </c>
      <c r="E4" s="8" t="inlineStr">
        <is>
          <t>Classificação</t>
        </is>
      </c>
    </row>
    <row r="5">
      <c r="A5" s="9" t="inlineStr">
        <is>
          <t>Leões</t>
        </is>
      </c>
      <c r="B5" s="17" t="n">
        <v>8</v>
      </c>
      <c r="C5" s="17" t="n">
        <v>2</v>
      </c>
      <c r="D5" s="11">
        <f>B5*3</f>
        <v/>
      </c>
      <c r="E5" s="11">
        <f>SE(D5&gt;=24;"Campeão";SE(D5&gt;=15;"Classificado";SE(D5&gt;=9;"Playoff";"Eliminado")))</f>
        <v/>
      </c>
    </row>
    <row r="6">
      <c r="A6" s="14" t="inlineStr">
        <is>
          <t>Tigres</t>
        </is>
      </c>
      <c r="B6" s="18" t="n">
        <v>6</v>
      </c>
      <c r="C6" s="18" t="n">
        <v>4</v>
      </c>
      <c r="D6" s="11">
        <f>B6*3</f>
        <v/>
      </c>
      <c r="E6" s="11">
        <f>SE(D6&gt;=24;"Campeão";SE(D6&gt;=15;"Classificado";SE(D6&gt;=9;"Playoff";"Eliminado")))</f>
        <v/>
      </c>
    </row>
    <row r="7">
      <c r="A7" s="9" t="inlineStr">
        <is>
          <t>Águias</t>
        </is>
      </c>
      <c r="B7" s="17" t="n">
        <v>5</v>
      </c>
      <c r="C7" s="17" t="n">
        <v>5</v>
      </c>
      <c r="D7" s="11">
        <f>B7*3</f>
        <v/>
      </c>
      <c r="E7" s="11">
        <f>SE(D7&gt;=24;"Campeão";SE(D7&gt;=15;"Classificado";SE(D7&gt;=9;"Playoff";"Eliminado")))</f>
        <v/>
      </c>
    </row>
    <row r="8">
      <c r="A8" s="14" t="inlineStr">
        <is>
          <t>Lobos</t>
        </is>
      </c>
      <c r="B8" s="18" t="n">
        <v>3</v>
      </c>
      <c r="C8" s="18" t="n">
        <v>7</v>
      </c>
      <c r="D8" s="11">
        <f>B8*3</f>
        <v/>
      </c>
      <c r="E8" s="11">
        <f>SE(D8&gt;=24;"Campeão";SE(D8&gt;=15;"Classificado";SE(D8&gt;=9;"Playoff";"Eliminado")))</f>
        <v/>
      </c>
    </row>
    <row r="9">
      <c r="A9" s="9" t="inlineStr">
        <is>
          <t>Falcões</t>
        </is>
      </c>
      <c r="B9" s="17" t="n">
        <v>9</v>
      </c>
      <c r="C9" s="17" t="n">
        <v>1</v>
      </c>
      <c r="D9" s="11">
        <f>B9*3</f>
        <v/>
      </c>
      <c r="E9" s="11">
        <f>SE(D9&gt;=24;"Campeão";SE(D9&gt;=15;"Classificado";SE(D9&gt;=9;"Playoff";"Eliminado")))</f>
        <v/>
      </c>
    </row>
    <row r="10">
      <c r="A10" s="14" t="inlineStr">
        <is>
          <t>Ursos</t>
        </is>
      </c>
      <c r="B10" s="18" t="n">
        <v>2</v>
      </c>
      <c r="C10" s="18" t="n">
        <v>8</v>
      </c>
      <c r="D10" s="11">
        <f>B10*3</f>
        <v/>
      </c>
      <c r="E10" s="11">
        <f>SE(D10&gt;=24;"Campeão";SE(D10&gt;=15;"Classificado";SE(D10&gt;=9;"Playoff";"Eliminado")))</f>
        <v/>
      </c>
    </row>
    <row r="11" ht="6" customHeight="1"/>
    <row r="12">
      <c r="A12" s="16" t="inlineStr">
        <is>
          <t>Maior pontuação:</t>
        </is>
      </c>
      <c r="B12" s="11">
        <f>MÁXIMO(D5:D10)</f>
        <v/>
      </c>
    </row>
    <row r="13">
      <c r="A13" s="16" t="inlineStr">
        <is>
          <t>Menor pontuação:</t>
        </is>
      </c>
      <c r="B13" s="11">
        <f>MÍNIMO(D5:D10)</f>
        <v/>
      </c>
    </row>
  </sheetData>
  <mergeCells count="4">
    <mergeCell ref="A2:E2"/>
    <mergeCell ref="A11:E11"/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4" customWidth="1" min="5" max="5"/>
    <col width="16" customWidth="1" min="6" max="6"/>
  </cols>
  <sheetData>
    <row r="1" ht="22" customHeight="1">
      <c r="A1" s="6" t="inlineStr">
        <is>
          <t>Gabarito — Exercício 8: Consumo de Combustível</t>
        </is>
      </c>
    </row>
    <row r="2" ht="16" customHeight="1">
      <c r="A2" s="7" t="inlineStr">
        <is>
          <t xml:space="preserve">  Células em verde = fórmulas do gabarito   |   Células em cinza = dados originais</t>
        </is>
      </c>
    </row>
    <row r="3" ht="6" customHeight="1"/>
    <row r="4">
      <c r="A4" s="16" t="inlineStr">
        <is>
          <t>Preço do Litro (R$):</t>
        </is>
      </c>
      <c r="B4" s="24" t="n">
        <v>5.89</v>
      </c>
    </row>
    <row r="5" ht="6" customHeight="1"/>
    <row r="6">
      <c r="A6" s="8" t="inlineStr">
        <is>
          <t>Veículo</t>
        </is>
      </c>
      <c r="B6" s="8" t="inlineStr">
        <is>
          <t>Km Rodados</t>
        </is>
      </c>
      <c r="C6" s="8" t="inlineStr">
        <is>
          <t>Litros Consumidos</t>
        </is>
      </c>
      <c r="D6" s="8" t="inlineStr">
        <is>
          <t>Consumo (km/L)</t>
        </is>
      </c>
      <c r="E6" s="8" t="inlineStr">
        <is>
          <t>Eficiência</t>
        </is>
      </c>
      <c r="F6" s="8" t="inlineStr">
        <is>
          <t>Custo Total (R$)</t>
        </is>
      </c>
    </row>
    <row r="7">
      <c r="A7" s="9" t="inlineStr">
        <is>
          <t>Carro A</t>
        </is>
      </c>
      <c r="B7" s="17" t="n">
        <v>350</v>
      </c>
      <c r="C7" s="17" t="n">
        <v>35</v>
      </c>
      <c r="D7" s="25">
        <f>B7/C7</f>
        <v/>
      </c>
      <c r="E7" s="11">
        <f>SE(D7&gt;=20;"Econômico";SE(D7&gt;=12;"Regular";"Alto consumo"))</f>
        <v/>
      </c>
      <c r="F7" s="13">
        <f>C7*$B$4</f>
        <v/>
      </c>
    </row>
    <row r="8">
      <c r="A8" s="14" t="inlineStr">
        <is>
          <t>Carro B</t>
        </is>
      </c>
      <c r="B8" s="18" t="n">
        <v>500</v>
      </c>
      <c r="C8" s="18" t="n">
        <v>40</v>
      </c>
      <c r="D8" s="25">
        <f>B8/C8</f>
        <v/>
      </c>
      <c r="E8" s="11">
        <f>SE(D8&gt;=20;"Econômico";SE(D8&gt;=12;"Regular";"Alto consumo"))</f>
        <v/>
      </c>
      <c r="F8" s="13">
        <f>C8*$B$4</f>
        <v/>
      </c>
    </row>
    <row r="9">
      <c r="A9" s="9" t="inlineStr">
        <is>
          <t>Moto</t>
        </is>
      </c>
      <c r="B9" s="17" t="n">
        <v>600</v>
      </c>
      <c r="C9" s="17" t="n">
        <v>25</v>
      </c>
      <c r="D9" s="25">
        <f>B9/C9</f>
        <v/>
      </c>
      <c r="E9" s="11">
        <f>SE(D9&gt;=20;"Econômico";SE(D9&gt;=12;"Regular";"Alto consumo"))</f>
        <v/>
      </c>
      <c r="F9" s="13">
        <f>C9*$B$4</f>
        <v/>
      </c>
    </row>
    <row r="10">
      <c r="A10" s="14" t="inlineStr">
        <is>
          <t>Van</t>
        </is>
      </c>
      <c r="B10" s="18" t="n">
        <v>200</v>
      </c>
      <c r="C10" s="18" t="n">
        <v>30</v>
      </c>
      <c r="D10" s="25">
        <f>B10/C10</f>
        <v/>
      </c>
      <c r="E10" s="11">
        <f>SE(D10&gt;=20;"Econômico";SE(D10&gt;=12;"Regular";"Alto consumo"))</f>
        <v/>
      </c>
      <c r="F10" s="13">
        <f>C10*$B$4</f>
        <v/>
      </c>
    </row>
    <row r="11">
      <c r="A11" s="9" t="inlineStr">
        <is>
          <t>Caminhão</t>
        </is>
      </c>
      <c r="B11" s="17" t="n">
        <v>180</v>
      </c>
      <c r="C11" s="17" t="n">
        <v>60</v>
      </c>
      <c r="D11" s="25">
        <f>B11/C11</f>
        <v/>
      </c>
      <c r="E11" s="11">
        <f>SE(D11&gt;=20;"Econômico";SE(D11&gt;=12;"Regular";"Alto consumo"))</f>
        <v/>
      </c>
      <c r="F11" s="13">
        <f>C11*$B$4</f>
        <v/>
      </c>
    </row>
    <row r="12" ht="6" customHeight="1"/>
    <row r="13">
      <c r="A13" s="16" t="inlineStr">
        <is>
          <t>Custo médio:</t>
        </is>
      </c>
      <c r="B13" s="13">
        <f>MÉDIA(F7:F11)</f>
        <v/>
      </c>
    </row>
  </sheetData>
  <mergeCells count="5">
    <mergeCell ref="A2:F2"/>
    <mergeCell ref="A1:F1"/>
    <mergeCell ref="A5:F5"/>
    <mergeCell ref="A12:F12"/>
    <mergeCell ref="A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</cols>
  <sheetData>
    <row r="1" ht="22" customHeight="1">
      <c r="A1" s="6" t="inlineStr">
        <is>
          <t>Gabarito — Exercício 9: Avaliação de Filmes</t>
        </is>
      </c>
    </row>
    <row r="2" ht="16" customHeight="1">
      <c r="A2" s="7" t="inlineStr">
        <is>
          <t xml:space="preserve">  Células em verde = fórmulas do gabarito   |   Células em cinza = dados originais</t>
        </is>
      </c>
    </row>
    <row r="3" ht="6" customHeight="1"/>
    <row r="4">
      <c r="A4" s="8" t="inlineStr">
        <is>
          <t>Filme</t>
        </is>
      </c>
      <c r="B4" s="8" t="inlineStr">
        <is>
          <t>Nota Crítica</t>
        </is>
      </c>
      <c r="C4" s="8" t="inlineStr">
        <is>
          <t>Nota Público</t>
        </is>
      </c>
      <c r="D4" s="8" t="inlineStr">
        <is>
          <t>Média</t>
        </is>
      </c>
      <c r="E4" s="8" t="inlineStr">
        <is>
          <t>Indicado ao Oscar?</t>
        </is>
      </c>
      <c r="F4" s="8" t="inlineStr">
        <is>
          <t>Recomendado?</t>
        </is>
      </c>
    </row>
    <row r="5">
      <c r="A5" s="9" t="inlineStr">
        <is>
          <t>Filme A</t>
        </is>
      </c>
      <c r="B5" s="17" t="n">
        <v>8</v>
      </c>
      <c r="C5" s="17" t="n">
        <v>7</v>
      </c>
      <c r="D5" s="26">
        <f>MÉDIA(B5:C5)</f>
        <v/>
      </c>
      <c r="E5" s="11">
        <f>SE(E(B5&gt;=8;C5&gt;=8);"Sim";"Não")</f>
        <v/>
      </c>
      <c r="F5" s="11">
        <f>SE(D5&gt;=8;"Imperdível";SE(D5&gt;=6;"Vale assistir";"Evitar"))</f>
        <v/>
      </c>
    </row>
    <row r="6">
      <c r="A6" s="14" t="inlineStr">
        <is>
          <t>Filme B</t>
        </is>
      </c>
      <c r="B6" s="18" t="n">
        <v>6</v>
      </c>
      <c r="C6" s="18" t="n">
        <v>9</v>
      </c>
      <c r="D6" s="26">
        <f>MÉDIA(B6:C6)</f>
        <v/>
      </c>
      <c r="E6" s="11">
        <f>SE(E(B6&gt;=8;C6&gt;=8);"Sim";"Não")</f>
        <v/>
      </c>
      <c r="F6" s="11">
        <f>SE(D6&gt;=8;"Imperdível";SE(D6&gt;=6;"Vale assistir";"Evitar"))</f>
        <v/>
      </c>
    </row>
    <row r="7">
      <c r="A7" s="9" t="inlineStr">
        <is>
          <t>Filme C</t>
        </is>
      </c>
      <c r="B7" s="17" t="n">
        <v>9</v>
      </c>
      <c r="C7" s="17" t="n">
        <v>9</v>
      </c>
      <c r="D7" s="26">
        <f>MÉDIA(B7:C7)</f>
        <v/>
      </c>
      <c r="E7" s="11">
        <f>SE(E(B7&gt;=8;C7&gt;=8);"Sim";"Não")</f>
        <v/>
      </c>
      <c r="F7" s="11">
        <f>SE(D7&gt;=8;"Imperdível";SE(D7&gt;=6;"Vale assistir";"Evitar"))</f>
        <v/>
      </c>
    </row>
    <row r="8">
      <c r="A8" s="14" t="inlineStr">
        <is>
          <t>Filme D</t>
        </is>
      </c>
      <c r="B8" s="18" t="n">
        <v>5</v>
      </c>
      <c r="C8" s="18" t="n">
        <v>6</v>
      </c>
      <c r="D8" s="26">
        <f>MÉDIA(B8:C8)</f>
        <v/>
      </c>
      <c r="E8" s="11">
        <f>SE(E(B8&gt;=8;C8&gt;=8);"Sim";"Não")</f>
        <v/>
      </c>
      <c r="F8" s="11">
        <f>SE(D8&gt;=8;"Imperdível";SE(D8&gt;=6;"Vale assistir";"Evitar"))</f>
        <v/>
      </c>
    </row>
    <row r="9">
      <c r="A9" s="9" t="inlineStr">
        <is>
          <t>Filme E</t>
        </is>
      </c>
      <c r="B9" s="17" t="n">
        <v>7</v>
      </c>
      <c r="C9" s="17" t="n">
        <v>8</v>
      </c>
      <c r="D9" s="26">
        <f>MÉDIA(B9:C9)</f>
        <v/>
      </c>
      <c r="E9" s="11">
        <f>SE(E(B9&gt;=8;C9&gt;=8);"Sim";"Não")</f>
        <v/>
      </c>
      <c r="F9" s="11">
        <f>SE(D9&gt;=8;"Imperdível";SE(D9&gt;=6;"Vale assistir";"Evitar"))</f>
        <v/>
      </c>
    </row>
    <row r="10">
      <c r="A10" s="14" t="inlineStr">
        <is>
          <t>Filme F</t>
        </is>
      </c>
      <c r="B10" s="18" t="n">
        <v>4</v>
      </c>
      <c r="C10" s="18" t="n">
        <v>5</v>
      </c>
      <c r="D10" s="26">
        <f>MÉDIA(B10:C10)</f>
        <v/>
      </c>
      <c r="E10" s="11">
        <f>SE(E(B10&gt;=8;C10&gt;=8);"Sim";"Não")</f>
        <v/>
      </c>
      <c r="F10" s="11">
        <f>SE(D10&gt;=8;"Imperdível";SE(D10&gt;=6;"Vale assistir";"Evitar"))</f>
        <v/>
      </c>
    </row>
    <row r="11" ht="6" customHeight="1"/>
    <row r="12">
      <c r="A12" s="16" t="inlineStr">
        <is>
          <t>Maior média:</t>
        </is>
      </c>
      <c r="B12" s="26">
        <f>MÁXIMO(D5:D10)</f>
        <v/>
      </c>
    </row>
    <row r="13">
      <c r="A13" s="16" t="inlineStr">
        <is>
          <t>Menor média:</t>
        </is>
      </c>
      <c r="B13" s="26">
        <f>MÍNIMO(D5:D10)</f>
        <v/>
      </c>
    </row>
  </sheetData>
  <mergeCells count="4">
    <mergeCell ref="A3:F3"/>
    <mergeCell ref="A2:F2"/>
    <mergeCell ref="A11:F1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18" customWidth="1" min="7" max="7"/>
  </cols>
  <sheetData>
    <row r="1" ht="22" customHeight="1">
      <c r="A1" s="6" t="inlineStr">
        <is>
          <t>Gabarito — Exercício 10: Análise de Vendas Mensais</t>
        </is>
      </c>
    </row>
    <row r="2" ht="16" customHeight="1">
      <c r="A2" s="7" t="inlineStr">
        <is>
          <t xml:space="preserve">  Células em verde = fórmulas do gabarito   |   Células em cinza = dados originais</t>
        </is>
      </c>
    </row>
    <row r="3" ht="6" customHeight="1"/>
    <row r="4">
      <c r="A4" s="8" t="inlineStr">
        <is>
          <t>Vendedor</t>
        </is>
      </c>
      <c r="B4" s="8" t="inlineStr">
        <is>
          <t>Jan (R$)</t>
        </is>
      </c>
      <c r="C4" s="8" t="inlineStr">
        <is>
          <t>Fev (R$)</t>
        </is>
      </c>
      <c r="D4" s="8" t="inlineStr">
        <is>
          <t>Mar (R$)</t>
        </is>
      </c>
      <c r="E4" s="8" t="inlineStr">
        <is>
          <t>Total Trim.</t>
        </is>
      </c>
      <c r="F4" s="8" t="inlineStr">
        <is>
          <t>Desempenho</t>
        </is>
      </c>
      <c r="G4" s="8" t="inlineStr">
        <is>
          <t>Situação Especial</t>
        </is>
      </c>
    </row>
    <row r="5">
      <c r="A5" s="9" t="inlineStr">
        <is>
          <t>Ana</t>
        </is>
      </c>
      <c r="B5" s="27" t="n">
        <v>1200</v>
      </c>
      <c r="C5" s="27" t="n">
        <v>1500</v>
      </c>
      <c r="D5" s="27" t="n">
        <v>1100</v>
      </c>
      <c r="E5" s="28">
        <f>SOMA(B5:D5)</f>
        <v/>
      </c>
      <c r="F5" s="11">
        <f>SE(E5&gt;9000;"Destaque";SE(E5&gt;5000;"Bom";"Em desenvolvimento"))</f>
        <v/>
      </c>
      <c r="G5" s="11">
        <f>SE(E(E5&gt;9000;B5&gt;3000);"Bônus Garantido";SE(OU(E5&lt;2000;D5&lt;600);"Atenção";"Regular"))</f>
        <v/>
      </c>
    </row>
    <row r="6">
      <c r="A6" s="14" t="inlineStr">
        <is>
          <t>Carlos</t>
        </is>
      </c>
      <c r="B6" s="29" t="n">
        <v>3000</v>
      </c>
      <c r="C6" s="29" t="n">
        <v>2800</v>
      </c>
      <c r="D6" s="29" t="n">
        <v>3200</v>
      </c>
      <c r="E6" s="28">
        <f>SOMA(B6:D6)</f>
        <v/>
      </c>
      <c r="F6" s="11">
        <f>SE(E6&gt;9000;"Destaque";SE(E6&gt;5000;"Bom";"Em desenvolvimento"))</f>
        <v/>
      </c>
      <c r="G6" s="11">
        <f>SE(E(E6&gt;9000;B6&gt;3000);"Bônus Garantido";SE(OU(E6&lt;2000;D6&lt;600);"Atenção";"Regular"))</f>
        <v/>
      </c>
    </row>
    <row r="7">
      <c r="A7" s="9" t="inlineStr">
        <is>
          <t>Bruna</t>
        </is>
      </c>
      <c r="B7" s="27" t="n">
        <v>800</v>
      </c>
      <c r="C7" s="27" t="n">
        <v>950</v>
      </c>
      <c r="D7" s="27" t="n">
        <v>700</v>
      </c>
      <c r="E7" s="28">
        <f>SOMA(B7:D7)</f>
        <v/>
      </c>
      <c r="F7" s="11">
        <f>SE(E7&gt;9000;"Destaque";SE(E7&gt;5000;"Bom";"Em desenvolvimento"))</f>
        <v/>
      </c>
      <c r="G7" s="11">
        <f>SE(E(E7&gt;9000;B7&gt;3000);"Bônus Garantido";SE(OU(E7&lt;2000;D7&lt;600);"Atenção";"Regular"))</f>
        <v/>
      </c>
    </row>
    <row r="8">
      <c r="A8" s="14" t="inlineStr">
        <is>
          <t>Diego</t>
        </is>
      </c>
      <c r="B8" s="29" t="n">
        <v>2500</v>
      </c>
      <c r="C8" s="29" t="n">
        <v>2700</v>
      </c>
      <c r="D8" s="29" t="n">
        <v>2600</v>
      </c>
      <c r="E8" s="28">
        <f>SOMA(B8:D8)</f>
        <v/>
      </c>
      <c r="F8" s="11">
        <f>SE(E8&gt;9000;"Destaque";SE(E8&gt;5000;"Bom";"Em desenvolvimento"))</f>
        <v/>
      </c>
      <c r="G8" s="11">
        <f>SE(E(E8&gt;9000;B8&gt;3000);"Bônus Garantido";SE(OU(E8&lt;2000;D8&lt;600);"Atenção";"Regular"))</f>
        <v/>
      </c>
    </row>
    <row r="9">
      <c r="A9" s="9" t="inlineStr">
        <is>
          <t>Luana</t>
        </is>
      </c>
      <c r="B9" s="27" t="n">
        <v>500</v>
      </c>
      <c r="C9" s="27" t="n">
        <v>600</v>
      </c>
      <c r="D9" s="27" t="n">
        <v>550</v>
      </c>
      <c r="E9" s="28">
        <f>SOMA(B9:D9)</f>
        <v/>
      </c>
      <c r="F9" s="11">
        <f>SE(E9&gt;9000;"Destaque";SE(E9&gt;5000;"Bom";"Em desenvolvimento"))</f>
        <v/>
      </c>
      <c r="G9" s="11">
        <f>SE(E(E9&gt;9000;B9&gt;3000);"Bônus Garantido";SE(OU(E9&lt;2000;D9&lt;600);"Atenção";"Regular"))</f>
        <v/>
      </c>
    </row>
    <row r="10">
      <c r="A10" s="14" t="inlineStr">
        <is>
          <t>Marcos</t>
        </is>
      </c>
      <c r="B10" s="29" t="n">
        <v>4000</v>
      </c>
      <c r="C10" s="29" t="n">
        <v>3800</v>
      </c>
      <c r="D10" s="29" t="n">
        <v>4200</v>
      </c>
      <c r="E10" s="28">
        <f>SOMA(B10:D10)</f>
        <v/>
      </c>
      <c r="F10" s="11">
        <f>SE(E10&gt;9000;"Destaque";SE(E10&gt;5000;"Bom";"Em desenvolvimento"))</f>
        <v/>
      </c>
      <c r="G10" s="11">
        <f>SE(E(E10&gt;9000;B10&gt;3000);"Bônus Garantido";SE(OU(E10&lt;2000;D10&lt;600);"Atenção";"Regular"))</f>
        <v/>
      </c>
    </row>
    <row r="11">
      <c r="A11" s="9" t="inlineStr">
        <is>
          <t>Paula</t>
        </is>
      </c>
      <c r="B11" s="27" t="n">
        <v>1800</v>
      </c>
      <c r="C11" s="27" t="n">
        <v>1600</v>
      </c>
      <c r="D11" s="27" t="n">
        <v>1900</v>
      </c>
      <c r="E11" s="28">
        <f>SOMA(B11:D11)</f>
        <v/>
      </c>
      <c r="F11" s="11">
        <f>SE(E11&gt;9000;"Destaque";SE(E11&gt;5000;"Bom";"Em desenvolvimento"))</f>
        <v/>
      </c>
      <c r="G11" s="11">
        <f>SE(E(E11&gt;9000;B11&gt;3000);"Bônus Garantido";SE(OU(E11&lt;2000;D11&lt;600);"Atenção";"Regular"))</f>
        <v/>
      </c>
    </row>
    <row r="12" ht="6" customHeight="1"/>
    <row r="13">
      <c r="A13" s="16" t="inlineStr">
        <is>
          <t>Total geral:</t>
        </is>
      </c>
      <c r="B13" s="28">
        <f>SOMA(E5:E11)</f>
        <v/>
      </c>
    </row>
    <row r="14">
      <c r="A14" s="16" t="inlineStr">
        <is>
          <t>Maior total:</t>
        </is>
      </c>
      <c r="B14" s="28">
        <f>MÁXIMO(E5:E11)</f>
        <v/>
      </c>
    </row>
    <row r="15">
      <c r="A15" s="16" t="inlineStr">
        <is>
          <t>Menor total:</t>
        </is>
      </c>
      <c r="B15" s="28">
        <f>MÍNIMO(E5:E11)</f>
        <v/>
      </c>
    </row>
    <row r="16">
      <c r="A16" s="16" t="inlineStr">
        <is>
          <t>Média dos totais:</t>
        </is>
      </c>
      <c r="B16" s="28">
        <f>MÉDIA(E5:E11)</f>
        <v/>
      </c>
    </row>
  </sheetData>
  <mergeCells count="4">
    <mergeCell ref="A3:G3"/>
    <mergeCell ref="A2:G2"/>
    <mergeCell ref="A1:G1"/>
    <mergeCell ref="A12:G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 ht="22" customHeight="1">
      <c r="A1" s="30" t="inlineStr">
        <is>
          <t>Gabarito — Prova Q1: Desempenho de Vendedores no Trimestre  [2,0 pts]</t>
        </is>
      </c>
    </row>
    <row r="2" ht="16" customHeight="1">
      <c r="A2" s="7" t="inlineStr">
        <is>
          <t xml:space="preserve">  Células em verde = fórmulas do gabarito   |   Células em cinza = dados originais</t>
        </is>
      </c>
    </row>
    <row r="3" ht="6" customHeight="1"/>
    <row r="4">
      <c r="A4" s="31" t="inlineStr">
        <is>
          <t>Vendedor</t>
        </is>
      </c>
      <c r="B4" s="31" t="inlineStr">
        <is>
          <t>Jan (R$)</t>
        </is>
      </c>
      <c r="C4" s="31" t="inlineStr">
        <is>
          <t>Fev (R$)</t>
        </is>
      </c>
      <c r="D4" s="31" t="inlineStr">
        <is>
          <t>Mar (R$)</t>
        </is>
      </c>
      <c r="E4" s="31" t="inlineStr">
        <is>
          <t>Total Trim.</t>
        </is>
      </c>
      <c r="F4" s="31" t="inlineStr">
        <is>
          <t>Média Trim.</t>
        </is>
      </c>
      <c r="G4" s="31" t="inlineStr">
        <is>
          <t>Desempenho</t>
        </is>
      </c>
      <c r="H4" s="31" t="inlineStr">
        <is>
          <t>Comissão (%)</t>
        </is>
      </c>
    </row>
    <row r="5">
      <c r="A5" s="9" t="inlineStr">
        <is>
          <t>Adriana</t>
        </is>
      </c>
      <c r="B5" s="10" t="n">
        <v>4200</v>
      </c>
      <c r="C5" s="10" t="n">
        <v>3800</v>
      </c>
      <c r="D5" s="10" t="n">
        <v>5100</v>
      </c>
      <c r="E5" s="28">
        <f>SOMA(B5:D5)</f>
        <v/>
      </c>
      <c r="F5" s="28">
        <f>MÉDIA(B5:D5)</f>
        <v/>
      </c>
      <c r="G5" s="11">
        <f>SE(F5&gt;5000;"Elite";SE(F5&gt;3500;"Sênior";SE(F5&gt;2500;"Júnior";"Trainee")))</f>
        <v/>
      </c>
      <c r="H5" s="12">
        <f>SE(G5="Elite";8%;SE(G5="Sênior";5%;SE(G5="Júnior";3%;1%)))</f>
        <v/>
      </c>
    </row>
    <row r="6">
      <c r="A6" s="14" t="inlineStr">
        <is>
          <t>Bruno</t>
        </is>
      </c>
      <c r="B6" s="15" t="n">
        <v>2900</v>
      </c>
      <c r="C6" s="15" t="n">
        <v>3100</v>
      </c>
      <c r="D6" s="15" t="n">
        <v>2700</v>
      </c>
      <c r="E6" s="28">
        <f>SOMA(B6:D6)</f>
        <v/>
      </c>
      <c r="F6" s="28">
        <f>MÉDIA(B6:D6)</f>
        <v/>
      </c>
      <c r="G6" s="11">
        <f>SE(F6&gt;5000;"Elite";SE(F6&gt;3500;"Sênior";SE(F6&gt;2500;"Júnior";"Trainee")))</f>
        <v/>
      </c>
      <c r="H6" s="12">
        <f>SE(G6="Elite";8%;SE(G6="Sênior";5%;SE(G6="Júnior";3%;1%)))</f>
        <v/>
      </c>
    </row>
    <row r="7">
      <c r="A7" s="9" t="inlineStr">
        <is>
          <t>Camila</t>
        </is>
      </c>
      <c r="B7" s="10" t="n">
        <v>6000</v>
      </c>
      <c r="C7" s="10" t="n">
        <v>5800</v>
      </c>
      <c r="D7" s="10" t="n">
        <v>6200</v>
      </c>
      <c r="E7" s="28">
        <f>SOMA(B7:D7)</f>
        <v/>
      </c>
      <c r="F7" s="28">
        <f>MÉDIA(B7:D7)</f>
        <v/>
      </c>
      <c r="G7" s="11">
        <f>SE(F7&gt;5000;"Elite";SE(F7&gt;3500;"Sênior";SE(F7&gt;2500;"Júnior";"Trainee")))</f>
        <v/>
      </c>
      <c r="H7" s="12">
        <f>SE(G7="Elite";8%;SE(G7="Sênior";5%;SE(G7="Júnior";3%;1%)))</f>
        <v/>
      </c>
    </row>
    <row r="8">
      <c r="A8" s="14" t="inlineStr">
        <is>
          <t>Diego</t>
        </is>
      </c>
      <c r="B8" s="15" t="n">
        <v>1800</v>
      </c>
      <c r="C8" s="15" t="n">
        <v>2200</v>
      </c>
      <c r="D8" s="15" t="n">
        <v>1500</v>
      </c>
      <c r="E8" s="28">
        <f>SOMA(B8:D8)</f>
        <v/>
      </c>
      <c r="F8" s="28">
        <f>MÉDIA(B8:D8)</f>
        <v/>
      </c>
      <c r="G8" s="11">
        <f>SE(F8&gt;5000;"Elite";SE(F8&gt;3500;"Sênior";SE(F8&gt;2500;"Júnior";"Trainee")))</f>
        <v/>
      </c>
      <c r="H8" s="12">
        <f>SE(G8="Elite";8%;SE(G8="Sênior";5%;SE(G8="Júnior";3%;1%)))</f>
        <v/>
      </c>
    </row>
    <row r="9">
      <c r="A9" s="9" t="inlineStr">
        <is>
          <t>Estela</t>
        </is>
      </c>
      <c r="B9" s="10" t="n">
        <v>3500</v>
      </c>
      <c r="C9" s="10" t="n">
        <v>4000</v>
      </c>
      <c r="D9" s="10" t="n">
        <v>3800</v>
      </c>
      <c r="E9" s="28">
        <f>SOMA(B9:D9)</f>
        <v/>
      </c>
      <c r="F9" s="28">
        <f>MÉDIA(B9:D9)</f>
        <v/>
      </c>
      <c r="G9" s="11">
        <f>SE(F9&gt;5000;"Elite";SE(F9&gt;3500;"Sênior";SE(F9&gt;2500;"Júnior";"Trainee")))</f>
        <v/>
      </c>
      <c r="H9" s="12">
        <f>SE(G9="Elite";8%;SE(G9="Sênior";5%;SE(G9="Júnior";3%;1%)))</f>
        <v/>
      </c>
    </row>
    <row r="10">
      <c r="A10" s="14" t="inlineStr">
        <is>
          <t>Fábio</t>
        </is>
      </c>
      <c r="B10" s="15" t="n">
        <v>5500</v>
      </c>
      <c r="C10" s="15" t="n">
        <v>5200</v>
      </c>
      <c r="D10" s="15" t="n">
        <v>5800</v>
      </c>
      <c r="E10" s="28">
        <f>SOMA(B10:D10)</f>
        <v/>
      </c>
      <c r="F10" s="28">
        <f>MÉDIA(B10:D10)</f>
        <v/>
      </c>
      <c r="G10" s="11">
        <f>SE(F10&gt;5000;"Elite";SE(F10&gt;3500;"Sênior";SE(F10&gt;2500;"Júnior";"Trainee")))</f>
        <v/>
      </c>
      <c r="H10" s="12">
        <f>SE(G10="Elite";8%;SE(G10="Sênior";5%;SE(G10="Júnior";3%;1%)))</f>
        <v/>
      </c>
    </row>
    <row r="11" ht="6" customHeight="1"/>
    <row r="12">
      <c r="A12" s="16" t="inlineStr">
        <is>
          <t>Maior total:</t>
        </is>
      </c>
      <c r="B12" s="28">
        <f>MÁXIMO(E5:E10)</f>
        <v/>
      </c>
    </row>
    <row r="13">
      <c r="A13" s="16" t="inlineStr">
        <is>
          <t>Menor total:</t>
        </is>
      </c>
      <c r="B13" s="28">
        <f>MÍNIMO(E5:E10)</f>
        <v/>
      </c>
    </row>
    <row r="14">
      <c r="A14" s="16" t="inlineStr">
        <is>
          <t>Média geral dos totais:</t>
        </is>
      </c>
      <c r="B14" s="28">
        <f>MÉDIA(E5:E10)</f>
        <v/>
      </c>
    </row>
  </sheetData>
  <mergeCells count="4">
    <mergeCell ref="A11:H11"/>
    <mergeCell ref="A3:H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3" customWidth="1" min="4" max="4"/>
    <col width="14" customWidth="1" min="5" max="5"/>
    <col width="13" customWidth="1" min="6" max="6"/>
    <col width="14" customWidth="1" min="7" max="7"/>
    <col width="18" customWidth="1" min="8" max="8"/>
  </cols>
  <sheetData>
    <row r="1" ht="22" customHeight="1">
      <c r="A1" s="30" t="inlineStr">
        <is>
          <t>Gabarito — Prova Q2: Gestão de Estoque Avançada  [2,0 pts]</t>
        </is>
      </c>
    </row>
    <row r="2" ht="16" customHeight="1">
      <c r="A2" s="7" t="inlineStr">
        <is>
          <t xml:space="preserve">  Células em verde = fórmulas do gabarito   |   Células em cinza = dados originais</t>
        </is>
      </c>
    </row>
    <row r="3" ht="6" customHeight="1"/>
    <row r="4">
      <c r="A4" s="16" t="inlineStr">
        <is>
          <t>Taxa de Imposto (%):</t>
        </is>
      </c>
      <c r="B4" s="32" t="n">
        <v>0.12</v>
      </c>
    </row>
    <row r="5" ht="6" customHeight="1"/>
    <row r="6">
      <c r="A6" s="31" t="inlineStr">
        <is>
          <t>Produto</t>
        </is>
      </c>
      <c r="B6" s="31" t="inlineStr">
        <is>
          <t>Estoque</t>
        </is>
      </c>
      <c r="C6" s="31" t="inlineStr">
        <is>
          <t>Est. Mínimo</t>
        </is>
      </c>
      <c r="D6" s="31" t="inlineStr">
        <is>
          <t>Custo Unit.</t>
        </is>
      </c>
      <c r="E6" s="31" t="inlineStr">
        <is>
          <t>Valor Total</t>
        </is>
      </c>
      <c r="F6" s="31" t="inlineStr">
        <is>
          <t>Status</t>
        </is>
      </c>
      <c r="G6" s="31" t="inlineStr">
        <is>
          <t>Prioridade</t>
        </is>
      </c>
      <c r="H6" s="31" t="inlineStr">
        <is>
          <t>Valor c/ Imposto</t>
        </is>
      </c>
    </row>
    <row r="7">
      <c r="A7" s="9" t="inlineStr">
        <is>
          <t>Parafuso M6</t>
        </is>
      </c>
      <c r="B7" s="17" t="n">
        <v>50</v>
      </c>
      <c r="C7" s="17" t="n">
        <v>80</v>
      </c>
      <c r="D7" s="22" t="n">
        <v>0.5</v>
      </c>
      <c r="E7" s="13">
        <f>B7*D7</f>
        <v/>
      </c>
      <c r="F7" s="11">
        <f>SE(B7=0;"Esgotado";SE(B7&lt;C7;"Repor";SE(E(B7&gt;=C7;B7&lt;=C7*2);"Atenção";"OK")))</f>
        <v/>
      </c>
      <c r="G7" s="11">
        <f>SE(OU(F7="Esgotado";F7="Repor");"Urgente";"Normal")</f>
        <v/>
      </c>
      <c r="H7" s="13">
        <f>E7*(1+$B$4)</f>
        <v/>
      </c>
    </row>
    <row r="8">
      <c r="A8" s="14" t="inlineStr">
        <is>
          <t>Porca M6</t>
        </is>
      </c>
      <c r="B8" s="18" t="n">
        <v>120</v>
      </c>
      <c r="C8" s="18" t="n">
        <v>60</v>
      </c>
      <c r="D8" s="23" t="n">
        <v>0.3</v>
      </c>
      <c r="E8" s="13">
        <f>B8*D8</f>
        <v/>
      </c>
      <c r="F8" s="11">
        <f>SE(B8=0;"Esgotado";SE(B8&lt;C8;"Repor";SE(E(B8&gt;=C8;B8&lt;=C8*2);"Atenção";"OK")))</f>
        <v/>
      </c>
      <c r="G8" s="11">
        <f>SE(OU(F8="Esgotado";F8="Repor");"Urgente";"Normal")</f>
        <v/>
      </c>
      <c r="H8" s="13">
        <f>E8*(1+$B$4)</f>
        <v/>
      </c>
    </row>
    <row r="9">
      <c r="A9" s="9" t="inlineStr">
        <is>
          <t>Chave Philips</t>
        </is>
      </c>
      <c r="B9" s="17" t="n">
        <v>15</v>
      </c>
      <c r="C9" s="17" t="n">
        <v>20</v>
      </c>
      <c r="D9" s="22" t="n">
        <v>8</v>
      </c>
      <c r="E9" s="13">
        <f>B9*D9</f>
        <v/>
      </c>
      <c r="F9" s="11">
        <f>SE(B9=0;"Esgotado";SE(B9&lt;C9;"Repor";SE(E(B9&gt;=C9;B9&lt;=C9*2);"Atenção";"OK")))</f>
        <v/>
      </c>
      <c r="G9" s="11">
        <f>SE(OU(F9="Esgotado";F9="Repor");"Urgente";"Normal")</f>
        <v/>
      </c>
      <c r="H9" s="13">
        <f>E9*(1+$B$4)</f>
        <v/>
      </c>
    </row>
    <row r="10">
      <c r="A10" s="14" t="inlineStr">
        <is>
          <t>Martelo</t>
        </is>
      </c>
      <c r="B10" s="18" t="n">
        <v>8</v>
      </c>
      <c r="C10" s="18" t="n">
        <v>10</v>
      </c>
      <c r="D10" s="23" t="n">
        <v>35</v>
      </c>
      <c r="E10" s="13">
        <f>B10*D10</f>
        <v/>
      </c>
      <c r="F10" s="11">
        <f>SE(B10=0;"Esgotado";SE(B10&lt;C10;"Repor";SE(E(B10&gt;=C10;B10&lt;=C10*2);"Atenção";"OK")))</f>
        <v/>
      </c>
      <c r="G10" s="11">
        <f>SE(OU(F10="Esgotado";F10="Repor");"Urgente";"Normal")</f>
        <v/>
      </c>
      <c r="H10" s="13">
        <f>E10*(1+$B$4)</f>
        <v/>
      </c>
    </row>
    <row r="11">
      <c r="A11" s="9" t="inlineStr">
        <is>
          <t>Serra Fita</t>
        </is>
      </c>
      <c r="B11" s="17" t="n">
        <v>3</v>
      </c>
      <c r="C11" s="17" t="n">
        <v>5</v>
      </c>
      <c r="D11" s="22" t="n">
        <v>280</v>
      </c>
      <c r="E11" s="13">
        <f>B11*D11</f>
        <v/>
      </c>
      <c r="F11" s="11">
        <f>SE(B11=0;"Esgotado";SE(B11&lt;C11;"Repor";SE(E(B11&gt;=C11;B11&lt;=C11*2);"Atenção";"OK")))</f>
        <v/>
      </c>
      <c r="G11" s="11">
        <f>SE(OU(F11="Esgotado";F11="Repor");"Urgente";"Normal")</f>
        <v/>
      </c>
      <c r="H11" s="13">
        <f>E11*(1+$B$4)</f>
        <v/>
      </c>
    </row>
    <row r="12">
      <c r="A12" s="14" t="inlineStr">
        <is>
          <t>Lixa 100</t>
        </is>
      </c>
      <c r="B12" s="18" t="n">
        <v>200</v>
      </c>
      <c r="C12" s="18" t="n">
        <v>50</v>
      </c>
      <c r="D12" s="23" t="n">
        <v>0.8</v>
      </c>
      <c r="E12" s="13">
        <f>B12*D12</f>
        <v/>
      </c>
      <c r="F12" s="11">
        <f>SE(B12=0;"Esgotado";SE(B12&lt;C12;"Repor";SE(E(B12&gt;=C12;B12&lt;=C12*2);"Atenção";"OK")))</f>
        <v/>
      </c>
      <c r="G12" s="11">
        <f>SE(OU(F12="Esgotado";F12="Repor");"Urgente";"Normal")</f>
        <v/>
      </c>
      <c r="H12" s="13">
        <f>E12*(1+$B$4)</f>
        <v/>
      </c>
    </row>
    <row r="13">
      <c r="A13" s="9" t="inlineStr">
        <is>
          <t>Broca 6mm</t>
        </is>
      </c>
      <c r="B13" s="17" t="n">
        <v>12</v>
      </c>
      <c r="C13" s="17" t="n">
        <v>25</v>
      </c>
      <c r="D13" s="22" t="n">
        <v>4.5</v>
      </c>
      <c r="E13" s="13">
        <f>B13*D13</f>
        <v/>
      </c>
      <c r="F13" s="11">
        <f>SE(B13=0;"Esgotado";SE(B13&lt;C13;"Repor";SE(E(B13&gt;=C13;B13&lt;=C13*2);"Atenção";"OK")))</f>
        <v/>
      </c>
      <c r="G13" s="11">
        <f>SE(OU(F13="Esgotado";F13="Repor");"Urgente";"Normal")</f>
        <v/>
      </c>
      <c r="H13" s="13">
        <f>E13*(1+$B$4)</f>
        <v/>
      </c>
    </row>
    <row r="14" ht="6" customHeight="1"/>
    <row r="15">
      <c r="A15" s="16" t="inlineStr">
        <is>
          <t>Total geral c/ imposto:</t>
        </is>
      </c>
      <c r="B15" s="13">
        <f>SOMA(H7:H13)</f>
        <v/>
      </c>
    </row>
    <row r="16">
      <c r="A16" s="16" t="inlineStr">
        <is>
          <t>Maior custo unitário:</t>
        </is>
      </c>
      <c r="B16" s="13">
        <f>MÁXIMO(D7:D13)</f>
        <v/>
      </c>
    </row>
  </sheetData>
  <mergeCells count="5">
    <mergeCell ref="A1:H1"/>
    <mergeCell ref="A3:H3"/>
    <mergeCell ref="A2:H2"/>
    <mergeCell ref="A14:H14"/>
    <mergeCell ref="A5:H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6" customWidth="1" min="8" max="8"/>
    <col width="20" customWidth="1" min="9" max="9"/>
  </cols>
  <sheetData>
    <row r="1" ht="22" customHeight="1">
      <c r="A1" s="30" t="inlineStr">
        <is>
          <t>Gabarito — Prova Q3: Boletim Escolar Completo  [2,0 pts]</t>
        </is>
      </c>
    </row>
    <row r="2" ht="16" customHeight="1">
      <c r="A2" s="7" t="inlineStr">
        <is>
          <t xml:space="preserve">  Células em verde = fórmulas do gabarito   |   Células em cinza = dados originais</t>
        </is>
      </c>
    </row>
    <row r="3" ht="6" customHeight="1"/>
    <row r="4">
      <c r="A4" s="31" t="inlineStr">
        <is>
          <t>Aluno</t>
        </is>
      </c>
      <c r="B4" s="31" t="inlineStr">
        <is>
          <t>Port.</t>
        </is>
      </c>
      <c r="C4" s="31" t="inlineStr">
        <is>
          <t>Mat.</t>
        </is>
      </c>
      <c r="D4" s="31" t="inlineStr">
        <is>
          <t>Ciên.</t>
        </is>
      </c>
      <c r="E4" s="31" t="inlineStr">
        <is>
          <t>Hist.</t>
        </is>
      </c>
      <c r="F4" s="31" t="inlineStr">
        <is>
          <t>Média</t>
        </is>
      </c>
      <c r="G4" s="31" t="inlineStr">
        <is>
          <t>Freq.(%)</t>
        </is>
      </c>
      <c r="H4" s="31" t="inlineStr">
        <is>
          <t>Situação</t>
        </is>
      </c>
      <c r="I4" s="31" t="inlineStr">
        <is>
          <t>Menor Nota é em:</t>
        </is>
      </c>
    </row>
    <row r="5">
      <c r="A5" s="9" t="inlineStr">
        <is>
          <t>Alice</t>
        </is>
      </c>
      <c r="B5" s="17" t="n">
        <v>8</v>
      </c>
      <c r="C5" s="17" t="n">
        <v>7</v>
      </c>
      <c r="D5" s="17" t="n">
        <v>9</v>
      </c>
      <c r="E5" s="17" t="n">
        <v>6</v>
      </c>
      <c r="F5" s="26">
        <f>MÉDIA(B5:E5)</f>
        <v/>
      </c>
      <c r="G5" s="17" t="n">
        <v>92</v>
      </c>
      <c r="H5" s="11">
        <f>SE(E(F5&gt;=7;G5&gt;=75);"Aprovado";SE(E(F5&gt;=5;G5&gt;=75);"Recuperação";"Reprovado"))</f>
        <v/>
      </c>
      <c r="I5" s="11">
        <f>SE(H5="Recuperação";SE(E(B5&lt;=C5;B5&lt;=D5;B5&lt;=E5);"Port.";SE(E(C5&lt;=D5;C5&lt;=E5);"Mat.";SE(D5&lt;=E5;"Ciên.";"Hist.")));"-")</f>
        <v/>
      </c>
    </row>
    <row r="6">
      <c r="A6" s="14" t="inlineStr">
        <is>
          <t>Bernardo</t>
        </is>
      </c>
      <c r="B6" s="18" t="n">
        <v>5</v>
      </c>
      <c r="C6" s="18" t="n">
        <v>4</v>
      </c>
      <c r="D6" s="18" t="n">
        <v>6</v>
      </c>
      <c r="E6" s="18" t="n">
        <v>5</v>
      </c>
      <c r="F6" s="26">
        <f>MÉDIA(B6:E6)</f>
        <v/>
      </c>
      <c r="G6" s="18" t="n">
        <v>88</v>
      </c>
      <c r="H6" s="11">
        <f>SE(E(F6&gt;=7;G6&gt;=75);"Aprovado";SE(E(F6&gt;=5;G6&gt;=75);"Recuperação";"Reprovado"))</f>
        <v/>
      </c>
      <c r="I6" s="11">
        <f>SE(H6="Recuperação";SE(E(B6&lt;=C6;B6&lt;=D6;B6&lt;=E6);"Port.";SE(E(C6&lt;=D6;C6&lt;=E6);"Mat.";SE(D6&lt;=E6;"Ciên.";"Hist.")));"-")</f>
        <v/>
      </c>
    </row>
    <row r="7">
      <c r="A7" s="9" t="inlineStr">
        <is>
          <t>Clara</t>
        </is>
      </c>
      <c r="B7" s="17" t="n">
        <v>10</v>
      </c>
      <c r="C7" s="17" t="n">
        <v>9</v>
      </c>
      <c r="D7" s="17" t="n">
        <v>10</v>
      </c>
      <c r="E7" s="17" t="n">
        <v>8</v>
      </c>
      <c r="F7" s="26">
        <f>MÉDIA(B7:E7)</f>
        <v/>
      </c>
      <c r="G7" s="17" t="n">
        <v>95</v>
      </c>
      <c r="H7" s="11">
        <f>SE(E(F7&gt;=7;G7&gt;=75);"Aprovado";SE(E(F7&gt;=5;G7&gt;=75);"Recuperação";"Reprovado"))</f>
        <v/>
      </c>
      <c r="I7" s="11">
        <f>SE(H7="Recuperação";SE(E(B7&lt;=C7;B7&lt;=D7;B7&lt;=E7);"Port.";SE(E(C7&lt;=D7;C7&lt;=E7);"Mat.";SE(D7&lt;=E7;"Ciên.";"Hist.")));"-")</f>
        <v/>
      </c>
    </row>
    <row r="8">
      <c r="A8" s="14" t="inlineStr">
        <is>
          <t>Danilo</t>
        </is>
      </c>
      <c r="B8" s="18" t="n">
        <v>6</v>
      </c>
      <c r="C8" s="18" t="n">
        <v>5</v>
      </c>
      <c r="D8" s="18" t="n">
        <v>7</v>
      </c>
      <c r="E8" s="18" t="n">
        <v>6</v>
      </c>
      <c r="F8" s="26">
        <f>MÉDIA(B8:E8)</f>
        <v/>
      </c>
      <c r="G8" s="18" t="n">
        <v>70</v>
      </c>
      <c r="H8" s="11">
        <f>SE(E(F8&gt;=7;G8&gt;=75);"Aprovado";SE(E(F8&gt;=5;G8&gt;=75);"Recuperação";"Reprovado"))</f>
        <v/>
      </c>
      <c r="I8" s="11">
        <f>SE(H8="Recuperação";SE(E(B8&lt;=C8;B8&lt;=D8;B8&lt;=E8);"Port.";SE(E(C8&lt;=D8;C8&lt;=E8);"Mat.";SE(D8&lt;=E8;"Ciên.";"Hist.")));"-")</f>
        <v/>
      </c>
    </row>
    <row r="9">
      <c r="A9" s="9" t="inlineStr">
        <is>
          <t>Eduarda</t>
        </is>
      </c>
      <c r="B9" s="17" t="n">
        <v>4</v>
      </c>
      <c r="C9" s="17" t="n">
        <v>3</v>
      </c>
      <c r="D9" s="17" t="n">
        <v>5</v>
      </c>
      <c r="E9" s="17" t="n">
        <v>4</v>
      </c>
      <c r="F9" s="26">
        <f>MÉDIA(B9:E9)</f>
        <v/>
      </c>
      <c r="G9" s="17" t="n">
        <v>60</v>
      </c>
      <c r="H9" s="11">
        <f>SE(E(F9&gt;=7;G9&gt;=75);"Aprovado";SE(E(F9&gt;=5;G9&gt;=75);"Recuperação";"Reprovado"))</f>
        <v/>
      </c>
      <c r="I9" s="11">
        <f>SE(H9="Recuperação";SE(E(B9&lt;=C9;B9&lt;=D9;B9&lt;=E9);"Port.";SE(E(C9&lt;=D9;C9&lt;=E9);"Mat.";SE(D9&lt;=E9;"Ciên.";"Hist.")));"-")</f>
        <v/>
      </c>
    </row>
    <row r="10">
      <c r="A10" s="14" t="inlineStr">
        <is>
          <t>Fabrício</t>
        </is>
      </c>
      <c r="B10" s="18" t="n">
        <v>7</v>
      </c>
      <c r="C10" s="18" t="n">
        <v>8</v>
      </c>
      <c r="D10" s="18" t="n">
        <v>6</v>
      </c>
      <c r="E10" s="18" t="n">
        <v>9</v>
      </c>
      <c r="F10" s="26">
        <f>MÉDIA(B10:E10)</f>
        <v/>
      </c>
      <c r="G10" s="18" t="n">
        <v>85</v>
      </c>
      <c r="H10" s="11">
        <f>SE(E(F10&gt;=7;G10&gt;=75);"Aprovado";SE(E(F10&gt;=5;G10&gt;=75);"Recuperação";"Reprovado"))</f>
        <v/>
      </c>
      <c r="I10" s="11">
        <f>SE(H10="Recuperação";SE(E(B10&lt;=C10;B10&lt;=D10;B10&lt;=E10);"Port.";SE(E(C10&lt;=D10;C10&lt;=E10);"Mat.";SE(D10&lt;=E10;"Ciên.";"Hist.")));"-")</f>
        <v/>
      </c>
    </row>
    <row r="11">
      <c r="A11" s="9" t="inlineStr">
        <is>
          <t>Giovana</t>
        </is>
      </c>
      <c r="B11" s="17" t="n">
        <v>9</v>
      </c>
      <c r="C11" s="17" t="n">
        <v>9</v>
      </c>
      <c r="D11" s="17" t="n">
        <v>8</v>
      </c>
      <c r="E11" s="17" t="n">
        <v>7</v>
      </c>
      <c r="F11" s="26">
        <f>MÉDIA(B11:E11)</f>
        <v/>
      </c>
      <c r="G11" s="17" t="n">
        <v>90</v>
      </c>
      <c r="H11" s="11">
        <f>SE(E(F11&gt;=7;G11&gt;=75);"Aprovado";SE(E(F11&gt;=5;G11&gt;=75);"Recuperação";"Reprovado"))</f>
        <v/>
      </c>
      <c r="I11" s="11">
        <f>SE(H11="Recuperação";SE(E(B11&lt;=C11;B11&lt;=D11;B11&lt;=E11);"Port.";SE(E(C11&lt;=D11;C11&lt;=E11);"Mat.";SE(D11&lt;=E11;"Ciên.";"Hist.")));"-")</f>
        <v/>
      </c>
    </row>
    <row r="12" ht="6" customHeight="1"/>
    <row r="13">
      <c r="A13" s="16" t="inlineStr">
        <is>
          <t>Média geral da turma:</t>
        </is>
      </c>
      <c r="B13" s="26">
        <f>MÉDIA(F5:F11)</f>
        <v/>
      </c>
    </row>
    <row r="14">
      <c r="A14" s="16" t="inlineStr">
        <is>
          <t>Maior média:</t>
        </is>
      </c>
      <c r="B14" s="26">
        <f>MÁXIMO(F5:F11)</f>
        <v/>
      </c>
    </row>
    <row r="15">
      <c r="A15" s="16" t="inlineStr">
        <is>
          <t>Menor média:</t>
        </is>
      </c>
      <c r="B15" s="26">
        <f>MÍNIMO(F5:F11)</f>
        <v/>
      </c>
    </row>
  </sheetData>
  <mergeCells count="4">
    <mergeCell ref="A1:I1"/>
    <mergeCell ref="A12:I12"/>
    <mergeCell ref="A3:I3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20" customWidth="1" min="9" max="9"/>
  </cols>
  <sheetData>
    <row r="1" ht="22" customHeight="1">
      <c r="A1" s="30" t="inlineStr">
        <is>
          <t>Gabarito — Prova Q4: Análise de Projetos  [2,0 pts]</t>
        </is>
      </c>
    </row>
    <row r="2" ht="16" customHeight="1">
      <c r="A2" s="7" t="inlineStr">
        <is>
          <t xml:space="preserve">  Células em verde = fórmulas do gabarito   |   Células em cinza = dados originais</t>
        </is>
      </c>
    </row>
    <row r="3" ht="6" customHeight="1"/>
    <row r="4">
      <c r="A4" s="31" t="inlineStr">
        <is>
          <t>Projeto</t>
        </is>
      </c>
      <c r="B4" s="31" t="inlineStr">
        <is>
          <t>Orçam.(R$)</t>
        </is>
      </c>
      <c r="C4" s="31" t="inlineStr">
        <is>
          <t>Gasto Real</t>
        </is>
      </c>
      <c r="D4" s="31" t="inlineStr">
        <is>
          <t>Prazo(dias)</t>
        </is>
      </c>
      <c r="E4" s="31" t="inlineStr">
        <is>
          <t>Dias Usados</t>
        </is>
      </c>
      <c r="F4" s="31" t="inlineStr">
        <is>
          <t>% Orçam.</t>
        </is>
      </c>
      <c r="G4" s="31" t="inlineStr">
        <is>
          <t>% Prazo</t>
        </is>
      </c>
      <c r="H4" s="31" t="inlineStr">
        <is>
          <t>Status</t>
        </is>
      </c>
      <c r="I4" s="31" t="inlineStr">
        <is>
          <t>Recomendação</t>
        </is>
      </c>
    </row>
    <row r="5">
      <c r="A5" s="9" t="inlineStr">
        <is>
          <t>Alpha</t>
        </is>
      </c>
      <c r="B5" s="27" t="n">
        <v>50000</v>
      </c>
      <c r="C5" s="27" t="n">
        <v>47000</v>
      </c>
      <c r="D5" s="17" t="n">
        <v>90</v>
      </c>
      <c r="E5" s="17" t="n">
        <v>85</v>
      </c>
      <c r="F5" s="33">
        <f>C5/B5</f>
        <v/>
      </c>
      <c r="G5" s="33">
        <f>E5/D5</f>
        <v/>
      </c>
      <c r="H5" s="11">
        <f>SE(E(F5&lt;=0,95;G5&lt;=0,95);"Verde";SE(E(F5&lt;=1,05;G5&lt;=1,05);"Amarelo";"Vermelho"))</f>
        <v/>
      </c>
      <c r="I5" s="11">
        <f>SE(H5="Verde";"Continuar normalmente";SE(H5="Amarelo";"Revisar escopo";"Acionar gerência"))</f>
        <v/>
      </c>
    </row>
    <row r="6">
      <c r="A6" s="14" t="inlineStr">
        <is>
          <t>Beta</t>
        </is>
      </c>
      <c r="B6" s="29" t="n">
        <v>30000</v>
      </c>
      <c r="C6" s="29" t="n">
        <v>35000</v>
      </c>
      <c r="D6" s="18" t="n">
        <v>60</v>
      </c>
      <c r="E6" s="18" t="n">
        <v>65</v>
      </c>
      <c r="F6" s="33">
        <f>C6/B6</f>
        <v/>
      </c>
      <c r="G6" s="33">
        <f>E6/D6</f>
        <v/>
      </c>
      <c r="H6" s="11">
        <f>SE(E(F6&lt;=0,95;G6&lt;=0,95);"Verde";SE(E(F6&lt;=1,05;G6&lt;=1,05);"Amarelo";"Vermelho"))</f>
        <v/>
      </c>
      <c r="I6" s="11">
        <f>SE(H6="Verde";"Continuar normalmente";SE(H6="Amarelo";"Revisar escopo";"Acionar gerência"))</f>
        <v/>
      </c>
    </row>
    <row r="7">
      <c r="A7" s="9" t="inlineStr">
        <is>
          <t>Gamma</t>
        </is>
      </c>
      <c r="B7" s="27" t="n">
        <v>80000</v>
      </c>
      <c r="C7" s="27" t="n">
        <v>78000</v>
      </c>
      <c r="D7" s="17" t="n">
        <v>120</v>
      </c>
      <c r="E7" s="17" t="n">
        <v>110</v>
      </c>
      <c r="F7" s="33">
        <f>C7/B7</f>
        <v/>
      </c>
      <c r="G7" s="33">
        <f>E7/D7</f>
        <v/>
      </c>
      <c r="H7" s="11">
        <f>SE(E(F7&lt;=0,95;G7&lt;=0,95);"Verde";SE(E(F7&lt;=1,05;G7&lt;=1,05);"Amarelo";"Vermelho"))</f>
        <v/>
      </c>
      <c r="I7" s="11">
        <f>SE(H7="Verde";"Continuar normalmente";SE(H7="Amarelo";"Revisar escopo";"Acionar gerência"))</f>
        <v/>
      </c>
    </row>
    <row r="8">
      <c r="A8" s="14" t="inlineStr">
        <is>
          <t>Delta</t>
        </is>
      </c>
      <c r="B8" s="29" t="n">
        <v>25000</v>
      </c>
      <c r="C8" s="29" t="n">
        <v>20000</v>
      </c>
      <c r="D8" s="18" t="n">
        <v>45</v>
      </c>
      <c r="E8" s="18" t="n">
        <v>50</v>
      </c>
      <c r="F8" s="33">
        <f>C8/B8</f>
        <v/>
      </c>
      <c r="G8" s="33">
        <f>E8/D8</f>
        <v/>
      </c>
      <c r="H8" s="11">
        <f>SE(E(F8&lt;=0,95;G8&lt;=0,95);"Verde";SE(E(F8&lt;=1,05;G8&lt;=1,05);"Amarelo";"Vermelho"))</f>
        <v/>
      </c>
      <c r="I8" s="11">
        <f>SE(H8="Verde";"Continuar normalmente";SE(H8="Amarelo";"Revisar escopo";"Acionar gerência"))</f>
        <v/>
      </c>
    </row>
    <row r="9">
      <c r="A9" s="9" t="inlineStr">
        <is>
          <t>Epsilon</t>
        </is>
      </c>
      <c r="B9" s="27" t="n">
        <v>60000</v>
      </c>
      <c r="C9" s="27" t="n">
        <v>61000</v>
      </c>
      <c r="D9" s="17" t="n">
        <v>75</v>
      </c>
      <c r="E9" s="17" t="n">
        <v>74</v>
      </c>
      <c r="F9" s="33">
        <f>C9/B9</f>
        <v/>
      </c>
      <c r="G9" s="33">
        <f>E9/D9</f>
        <v/>
      </c>
      <c r="H9" s="11">
        <f>SE(E(F9&lt;=0,95;G9&lt;=0,95);"Verde";SE(E(F9&lt;=1,05;G9&lt;=1,05);"Amarelo";"Vermelho"))</f>
        <v/>
      </c>
      <c r="I9" s="11">
        <f>SE(H9="Verde";"Continuar normalmente";SE(H9="Amarelo";"Revisar escopo";"Acionar gerência"))</f>
        <v/>
      </c>
    </row>
    <row r="10">
      <c r="A10" s="14" t="inlineStr">
        <is>
          <t>Zeta</t>
        </is>
      </c>
      <c r="B10" s="29" t="n">
        <v>45000</v>
      </c>
      <c r="C10" s="29" t="n">
        <v>44000</v>
      </c>
      <c r="D10" s="18" t="n">
        <v>50</v>
      </c>
      <c r="E10" s="18" t="n">
        <v>48</v>
      </c>
      <c r="F10" s="33">
        <f>C10/B10</f>
        <v/>
      </c>
      <c r="G10" s="33">
        <f>E10/D10</f>
        <v/>
      </c>
      <c r="H10" s="11">
        <f>SE(E(F10&lt;=0,95;G10&lt;=0,95);"Verde";SE(E(F10&lt;=1,05;G10&lt;=1,05);"Amarelo";"Vermelho"))</f>
        <v/>
      </c>
      <c r="I10" s="11">
        <f>SE(H10="Verde";"Continuar normalmente";SE(H10="Amarelo";"Revisar escopo";"Acionar gerência"))</f>
        <v/>
      </c>
    </row>
    <row r="11" ht="6" customHeight="1"/>
    <row r="12">
      <c r="A12" s="16" t="inlineStr">
        <is>
          <t>Total gasto (R$):</t>
        </is>
      </c>
      <c r="B12" s="28">
        <f>SOMA(C5:C10)</f>
        <v/>
      </c>
    </row>
    <row r="13">
      <c r="A13" s="16" t="inlineStr">
        <is>
          <t>Economia/estouro médio:</t>
        </is>
      </c>
      <c r="B13" s="28">
        <f>MÉDIA(B5:B10)-MÉDIA(C5:C10)</f>
        <v/>
      </c>
    </row>
  </sheetData>
  <mergeCells count="4">
    <mergeCell ref="A1:I1"/>
    <mergeCell ref="A3:I3"/>
    <mergeCell ref="A2:I2"/>
    <mergeCell ref="A11:I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13" customWidth="1" min="4" max="4"/>
    <col width="14" customWidth="1" min="5" max="5"/>
    <col width="13" customWidth="1" min="6" max="6"/>
    <col width="22" customWidth="1" min="7" max="7"/>
    <col width="20" customWidth="1" min="8" max="8"/>
  </cols>
  <sheetData>
    <row r="1" ht="22" customHeight="1">
      <c r="A1" s="30" t="inlineStr">
        <is>
          <t>Gabarito — Prova Q5: Planos de Saúde  [2,0 pts]</t>
        </is>
      </c>
    </row>
    <row r="2" ht="16" customHeight="1">
      <c r="A2" s="7" t="inlineStr">
        <is>
          <t xml:space="preserve">  Células em verde = fórmulas do gabarito   |   Células em cinza = dados originais</t>
        </is>
      </c>
    </row>
    <row r="3" ht="6" customHeight="1"/>
    <row r="4">
      <c r="A4" s="16" t="inlineStr">
        <is>
          <t>Índice de Reajuste (%):</t>
        </is>
      </c>
      <c r="B4" s="32" t="n">
        <v>0.09</v>
      </c>
    </row>
    <row r="5" ht="6" customHeight="1"/>
    <row r="6">
      <c r="A6" s="31" t="inlineStr">
        <is>
          <t>Beneficiário</t>
        </is>
      </c>
      <c r="B6" s="31" t="inlineStr">
        <is>
          <t>Idade</t>
        </is>
      </c>
      <c r="C6" s="31" t="inlineStr">
        <is>
          <t>Plano Atual</t>
        </is>
      </c>
      <c r="D6" s="31" t="inlineStr">
        <is>
          <t>Mensalidade</t>
        </is>
      </c>
      <c r="E6" s="31" t="inlineStr">
        <is>
          <t>Meses Ativo</t>
        </is>
      </c>
      <c r="F6" s="31" t="inlineStr">
        <is>
          <t>Situação</t>
        </is>
      </c>
      <c r="G6" s="31" t="inlineStr">
        <is>
          <t>Novo Plano Sugerido</t>
        </is>
      </c>
      <c r="H6" s="31" t="inlineStr">
        <is>
          <t>Mensalidade Reajustada</t>
        </is>
      </c>
    </row>
    <row r="7">
      <c r="A7" s="9" t="inlineStr">
        <is>
          <t>Ana Souza</t>
        </is>
      </c>
      <c r="B7" s="17" t="n">
        <v>28</v>
      </c>
      <c r="C7" s="17" t="inlineStr">
        <is>
          <t>Básico</t>
        </is>
      </c>
      <c r="D7" s="22" t="n">
        <v>320</v>
      </c>
      <c r="E7" s="17" t="n">
        <v>6</v>
      </c>
      <c r="F7" s="11">
        <f>SE(E(B7&gt;60;E7&gt;12);"Prioritário";SE(OU(B7&gt;60;E7&gt;24);"Preferencial";"Regular"))</f>
        <v/>
      </c>
      <c r="G7" s="11">
        <f>SE(E(B7&gt;60;C7="Básico");"Upgrade para Plus";SE(E(C7="Básico";E7&gt;24);"Fidelidade — oferecer Plus";"Manter plano"))</f>
        <v/>
      </c>
      <c r="H7" s="13">
        <f>D7*(1+$B$4)</f>
        <v/>
      </c>
    </row>
    <row r="8">
      <c r="A8" s="14" t="inlineStr">
        <is>
          <t>Bruno Lima</t>
        </is>
      </c>
      <c r="B8" s="18" t="n">
        <v>45</v>
      </c>
      <c r="C8" s="18" t="inlineStr">
        <is>
          <t>Plus</t>
        </is>
      </c>
      <c r="D8" s="23" t="n">
        <v>680</v>
      </c>
      <c r="E8" s="18" t="n">
        <v>36</v>
      </c>
      <c r="F8" s="11">
        <f>SE(E(B8&gt;60;E8&gt;12);"Prioritário";SE(OU(B8&gt;60;E8&gt;24);"Preferencial";"Regular"))</f>
        <v/>
      </c>
      <c r="G8" s="11">
        <f>SE(E(B8&gt;60;C8="Básico");"Upgrade para Plus";SE(E(C8="Básico";E8&gt;24);"Fidelidade — oferecer Plus";"Manter plano"))</f>
        <v/>
      </c>
      <c r="H8" s="13">
        <f>D8*(1+$B$4)</f>
        <v/>
      </c>
    </row>
    <row r="9">
      <c r="A9" s="9" t="inlineStr">
        <is>
          <t>Carla Melo</t>
        </is>
      </c>
      <c r="B9" s="17" t="n">
        <v>62</v>
      </c>
      <c r="C9" s="17" t="inlineStr">
        <is>
          <t>Premium</t>
        </is>
      </c>
      <c r="D9" s="22" t="n">
        <v>1200</v>
      </c>
      <c r="E9" s="17" t="n">
        <v>24</v>
      </c>
      <c r="F9" s="11">
        <f>SE(E(B9&gt;60;E9&gt;12);"Prioritário";SE(OU(B9&gt;60;E9&gt;24);"Preferencial";"Regular"))</f>
        <v/>
      </c>
      <c r="G9" s="11">
        <f>SE(E(B9&gt;60;C9="Básico");"Upgrade para Plus";SE(E(C9="Básico";E9&gt;24);"Fidelidade — oferecer Plus";"Manter plano"))</f>
        <v/>
      </c>
      <c r="H9" s="13">
        <f>D9*(1+$B$4)</f>
        <v/>
      </c>
    </row>
    <row r="10">
      <c r="A10" s="14" t="inlineStr">
        <is>
          <t>Diego Faria</t>
        </is>
      </c>
      <c r="B10" s="18" t="n">
        <v>19</v>
      </c>
      <c r="C10" s="18" t="inlineStr">
        <is>
          <t>Básico</t>
        </is>
      </c>
      <c r="D10" s="23" t="n">
        <v>320</v>
      </c>
      <c r="E10" s="18" t="n">
        <v>3</v>
      </c>
      <c r="F10" s="11">
        <f>SE(E(B10&gt;60;E10&gt;12);"Prioritário";SE(OU(B10&gt;60;E10&gt;24);"Preferencial";"Regular"))</f>
        <v/>
      </c>
      <c r="G10" s="11">
        <f>SE(E(B10&gt;60;C10="Básico");"Upgrade para Plus";SE(E(C10="Básico";E10&gt;24);"Fidelidade — oferecer Plus";"Manter plano"))</f>
        <v/>
      </c>
      <c r="H10" s="13">
        <f>D10*(1+$B$4)</f>
        <v/>
      </c>
    </row>
    <row r="11">
      <c r="A11" s="9" t="inlineStr">
        <is>
          <t>Estela Cruz</t>
        </is>
      </c>
      <c r="B11" s="17" t="n">
        <v>55</v>
      </c>
      <c r="C11" s="17" t="inlineStr">
        <is>
          <t>Plus</t>
        </is>
      </c>
      <c r="D11" s="22" t="n">
        <v>680</v>
      </c>
      <c r="E11" s="17" t="n">
        <v>12</v>
      </c>
      <c r="F11" s="11">
        <f>SE(E(B11&gt;60;E11&gt;12);"Prioritário";SE(OU(B11&gt;60;E11&gt;24);"Preferencial";"Regular"))</f>
        <v/>
      </c>
      <c r="G11" s="11">
        <f>SE(E(B11&gt;60;C11="Básico");"Upgrade para Plus";SE(E(C11="Básico";E11&gt;24);"Fidelidade — oferecer Plus";"Manter plano"))</f>
        <v/>
      </c>
      <c r="H11" s="13">
        <f>D11*(1+$B$4)</f>
        <v/>
      </c>
    </row>
    <row r="12">
      <c r="A12" s="14" t="inlineStr">
        <is>
          <t>Fábio Neto</t>
        </is>
      </c>
      <c r="B12" s="18" t="n">
        <v>38</v>
      </c>
      <c r="C12" s="18" t="inlineStr">
        <is>
          <t>Premium</t>
        </is>
      </c>
      <c r="D12" s="23" t="n">
        <v>1200</v>
      </c>
      <c r="E12" s="18" t="n">
        <v>48</v>
      </c>
      <c r="F12" s="11">
        <f>SE(E(B12&gt;60;E12&gt;12);"Prioritário";SE(OU(B12&gt;60;E12&gt;24);"Preferencial";"Regular"))</f>
        <v/>
      </c>
      <c r="G12" s="11">
        <f>SE(E(B12&gt;60;C12="Básico");"Upgrade para Plus";SE(E(C12="Básico";E12&gt;24);"Fidelidade — oferecer Plus";"Manter plano"))</f>
        <v/>
      </c>
      <c r="H12" s="13">
        <f>D12*(1+$B$4)</f>
        <v/>
      </c>
    </row>
    <row r="13">
      <c r="A13" s="9" t="inlineStr">
        <is>
          <t>Gisele Ramos</t>
        </is>
      </c>
      <c r="B13" s="17" t="n">
        <v>71</v>
      </c>
      <c r="C13" s="17" t="inlineStr">
        <is>
          <t>Plus</t>
        </is>
      </c>
      <c r="D13" s="22" t="n">
        <v>680</v>
      </c>
      <c r="E13" s="17" t="n">
        <v>60</v>
      </c>
      <c r="F13" s="11">
        <f>SE(E(B13&gt;60;E13&gt;12);"Prioritário";SE(OU(B13&gt;60;E13&gt;24);"Preferencial";"Regular"))</f>
        <v/>
      </c>
      <c r="G13" s="11">
        <f>SE(E(B13&gt;60;C13="Básico");"Upgrade para Plus";SE(E(C13="Básico";E13&gt;24);"Fidelidade — oferecer Plus";"Manter plano"))</f>
        <v/>
      </c>
      <c r="H13" s="13">
        <f>D13*(1+$B$4)</f>
        <v/>
      </c>
    </row>
    <row r="14" ht="6" customHeight="1"/>
    <row r="15">
      <c r="A15" s="16" t="inlineStr">
        <is>
          <t>Total mensalidades reajustadas:</t>
        </is>
      </c>
      <c r="B15" s="13">
        <f>SOMA(H7:H13)</f>
        <v/>
      </c>
    </row>
    <row r="16">
      <c r="A16" s="16" t="inlineStr">
        <is>
          <t>Maior mensalidade reajustada:</t>
        </is>
      </c>
      <c r="B16" s="13">
        <f>MÁXIMO(H7:H13)</f>
        <v/>
      </c>
    </row>
    <row r="17">
      <c r="A17" s="16" t="inlineStr">
        <is>
          <t>Menor mensalidade reajustada:</t>
        </is>
      </c>
      <c r="B17" s="13">
        <f>MÍNIMO(H7:H13)</f>
        <v/>
      </c>
    </row>
    <row r="18">
      <c r="A18" s="16" t="inlineStr">
        <is>
          <t>Qtd "Prioritários":</t>
        </is>
      </c>
      <c r="B18" s="34">
        <f>CONT.SE(F7:F13;"Prioritário")</f>
        <v/>
      </c>
    </row>
  </sheetData>
  <mergeCells count="5">
    <mergeCell ref="A1:H1"/>
    <mergeCell ref="A3:H3"/>
    <mergeCell ref="A2:H2"/>
    <mergeCell ref="A14:H14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2026-03-23T14:58:51Z</dcterms:created>
  <dcterms:modified xmlns:dcterms="http://purl.org/dc/terms/" xmlns:xsi="http://www.w3.org/2001/XMLSchema-instance" xsi:type="dcterms:W3CDTF">2026-03-23T14:58:51Z</dcterms:modified>
</cp:coreProperties>
</file>